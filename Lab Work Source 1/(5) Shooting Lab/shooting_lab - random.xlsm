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3260" windowHeight="8070"/>
  </bookViews>
  <sheets>
    <sheet name="Game" sheetId="1" r:id="rId1"/>
    <sheet name="Pictures" sheetId="2" r:id="rId2"/>
    <sheet name="Calculations" sheetId="3" r:id="rId3"/>
  </sheets>
  <definedNames>
    <definedName name="Angle">Game!$B$5</definedName>
    <definedName name="Speed">Game!$B$6</definedName>
  </definedNames>
  <calcPr calcId="145621"/>
</workbook>
</file>

<file path=xl/calcChain.xml><?xml version="1.0" encoding="utf-8"?>
<calcChain xmlns="http://schemas.openxmlformats.org/spreadsheetml/2006/main">
  <c r="B4" i="3" l="1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C3" i="3"/>
  <c r="B3" i="3"/>
  <c r="C2" i="3"/>
  <c r="B2" i="3"/>
</calcChain>
</file>

<file path=xl/sharedStrings.xml><?xml version="1.0" encoding="utf-8"?>
<sst xmlns="http://schemas.openxmlformats.org/spreadsheetml/2006/main" count="7" uniqueCount="7">
  <si>
    <t>Shooting Game</t>
    <phoneticPr fontId="0" type="noConversion"/>
  </si>
  <si>
    <t>To play the game enter the correct angle and speed values and then press Ctrl-Shift-S</t>
    <phoneticPr fontId="0" type="noConversion"/>
  </si>
  <si>
    <t>Angle:</t>
    <phoneticPr fontId="0" type="noConversion"/>
  </si>
  <si>
    <t>Speed:</t>
    <phoneticPr fontId="0" type="noConversion"/>
  </si>
  <si>
    <t>Time</t>
    <phoneticPr fontId="4" type="noConversion"/>
  </si>
  <si>
    <t>X</t>
    <phoneticPr fontId="4" type="noConversion"/>
  </si>
  <si>
    <t>Y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</si>
</sst>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新細明體"/>
      <family val="2"/>
      <charset val="136"/>
      <scheme val="minor"/>
    </font>
    <font>
      <sz val="18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2" borderId="2" xfId="0" applyFont="1" applyFill="1" applyBorder="1"/>
    <xf numFmtId="0" fontId="2" fillId="0" borderId="2" xfId="0" applyFont="1" applyFill="1" applyBorder="1" applyAlignment="1">
      <alignment horizontal="left"/>
    </xf>
    <xf numFmtId="0" fontId="0" fillId="0" borderId="1" xfId="0" applyBorder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254000</xdr:colOff>
      <xdr:row>6</xdr:row>
      <xdr:rowOff>48374</xdr:rowOff>
    </xdr:from>
    <xdr:to>
      <xdr:col>12</xdr:col>
      <xdr:colOff>41088</xdr:colOff>
      <xdr:row>11</xdr:row>
      <xdr:rowOff>89213</xdr:rowOff>
    </xdr:to>
    <xdr:grpSp>
      <xdr:nvGrpSpPr>
        <xdr:cNvPr id="21" name="Target"/>
        <xdr:cNvGrpSpPr/>
      </xdr:nvGrpSpPr>
      <xdr:grpSpPr>
        <a:xfrm>
          <a:off x="6350000" y="1343774"/>
          <a:ext cx="1006288" cy="1040964"/>
          <a:chOff x="4034518" y="1208314"/>
          <a:chExt cx="1496786" cy="1518557"/>
        </a:xfrm>
      </xdr:grpSpPr>
      <xdr:sp macro="" textlink="">
        <xdr:nvSpPr>
          <xdr:cNvPr id="22" name="橢圓 21"/>
          <xdr:cNvSpPr/>
        </xdr:nvSpPr>
        <xdr:spPr>
          <a:xfrm>
            <a:off x="4034518" y="1409700"/>
            <a:ext cx="1496786" cy="1317171"/>
          </a:xfrm>
          <a:prstGeom prst="ellipse">
            <a:avLst/>
          </a:prstGeom>
          <a:solidFill>
            <a:srgbClr val="92D05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23" name="群組 22"/>
          <xdr:cNvGrpSpPr/>
        </xdr:nvGrpSpPr>
        <xdr:grpSpPr>
          <a:xfrm>
            <a:off x="4131129" y="1279071"/>
            <a:ext cx="307520" cy="302078"/>
            <a:chOff x="4010024" y="1304924"/>
            <a:chExt cx="371475" cy="371475"/>
          </a:xfrm>
        </xdr:grpSpPr>
        <xdr:sp macro="" textlink="">
          <xdr:nvSpPr>
            <xdr:cNvPr id="38" name="橢圓 37"/>
            <xdr:cNvSpPr/>
          </xdr:nvSpPr>
          <xdr:spPr>
            <a:xfrm>
              <a:off x="4010024" y="1304924"/>
              <a:ext cx="371475" cy="371475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39" name="橢圓 38"/>
            <xdr:cNvSpPr/>
          </xdr:nvSpPr>
          <xdr:spPr>
            <a:xfrm>
              <a:off x="4114228" y="1456753"/>
              <a:ext cx="200597" cy="200597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grpSp>
        <xdr:nvGrpSpPr>
          <xdr:cNvPr id="24" name="群組 23"/>
          <xdr:cNvGrpSpPr/>
        </xdr:nvGrpSpPr>
        <xdr:grpSpPr>
          <a:xfrm>
            <a:off x="4871358" y="1208314"/>
            <a:ext cx="285750" cy="283029"/>
            <a:chOff x="5087711" y="1313351"/>
            <a:chExt cx="285750" cy="285750"/>
          </a:xfrm>
        </xdr:grpSpPr>
        <xdr:sp macro="" textlink="">
          <xdr:nvSpPr>
            <xdr:cNvPr id="36" name="橢圓 35"/>
            <xdr:cNvSpPr/>
          </xdr:nvSpPr>
          <xdr:spPr>
            <a:xfrm>
              <a:off x="5087711" y="1313351"/>
              <a:ext cx="285750" cy="285750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37" name="橢圓 36"/>
            <xdr:cNvSpPr/>
          </xdr:nvSpPr>
          <xdr:spPr>
            <a:xfrm>
              <a:off x="5155882" y="1434203"/>
              <a:ext cx="154305" cy="15430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25" name="橢圓 24"/>
          <xdr:cNvSpPr/>
        </xdr:nvSpPr>
        <xdr:spPr>
          <a:xfrm>
            <a:off x="4185558" y="1828802"/>
            <a:ext cx="364671" cy="35922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6" name="橢圓 25"/>
          <xdr:cNvSpPr/>
        </xdr:nvSpPr>
        <xdr:spPr>
          <a:xfrm>
            <a:off x="4294369" y="1956665"/>
            <a:ext cx="142160" cy="140038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7" name="橢圓 26"/>
          <xdr:cNvSpPr/>
        </xdr:nvSpPr>
        <xdr:spPr>
          <a:xfrm>
            <a:off x="5016951" y="1828802"/>
            <a:ext cx="363600" cy="36087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8" name="橢圓 27"/>
          <xdr:cNvSpPr/>
        </xdr:nvSpPr>
        <xdr:spPr>
          <a:xfrm>
            <a:off x="5131477" y="1957250"/>
            <a:ext cx="141742" cy="140682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9" name="套索 30"/>
          <xdr:cNvSpPr/>
        </xdr:nvSpPr>
        <xdr:spPr>
          <a:xfrm rot="14832689" flipV="1">
            <a:off x="4655348" y="2311183"/>
            <a:ext cx="293818" cy="336706"/>
          </a:xfrm>
          <a:custGeom>
            <a:avLst/>
            <a:gdLst>
              <a:gd name="connsiteX0" fmla="*/ 810573 w 962025"/>
              <a:gd name="connsiteY0" fmla="*/ 781998 h 904875"/>
              <a:gd name="connsiteX1" fmla="*/ 251461 w 962025"/>
              <a:gd name="connsiteY1" fmla="*/ 850031 h 904875"/>
              <a:gd name="connsiteX2" fmla="*/ 18404 w 962025"/>
              <a:gd name="connsiteY2" fmla="*/ 328481 h 904875"/>
              <a:gd name="connsiteX3" fmla="*/ 481012 w 962025"/>
              <a:gd name="connsiteY3" fmla="*/ -1 h 904875"/>
              <a:gd name="connsiteX4" fmla="*/ 810573 w 962025"/>
              <a:gd name="connsiteY4" fmla="*/ 781998 h 904875"/>
              <a:gd name="connsiteX0" fmla="*/ 811081 w 811081"/>
              <a:gd name="connsiteY0" fmla="*/ 781999 h 951823"/>
              <a:gd name="connsiteX1" fmla="*/ 247760 w 811081"/>
              <a:gd name="connsiteY1" fmla="*/ 913789 h 951823"/>
              <a:gd name="connsiteX2" fmla="*/ 18912 w 811081"/>
              <a:gd name="connsiteY2" fmla="*/ 328482 h 951823"/>
              <a:gd name="connsiteX3" fmla="*/ 481520 w 811081"/>
              <a:gd name="connsiteY3" fmla="*/ 0 h 951823"/>
              <a:gd name="connsiteX4" fmla="*/ 811081 w 811081"/>
              <a:gd name="connsiteY4" fmla="*/ 781999 h 951823"/>
              <a:gd name="connsiteX0" fmla="*/ 847307 w 847307"/>
              <a:gd name="connsiteY0" fmla="*/ 781999 h 948076"/>
              <a:gd name="connsiteX1" fmla="*/ 283986 w 847307"/>
              <a:gd name="connsiteY1" fmla="*/ 913789 h 948076"/>
              <a:gd name="connsiteX2" fmla="*/ 11750 w 847307"/>
              <a:gd name="connsiteY2" fmla="*/ 274390 h 948076"/>
              <a:gd name="connsiteX3" fmla="*/ 517746 w 847307"/>
              <a:gd name="connsiteY3" fmla="*/ 0 h 948076"/>
              <a:gd name="connsiteX4" fmla="*/ 847307 w 847307"/>
              <a:gd name="connsiteY4" fmla="*/ 781999 h 9480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847307" h="948076">
                <a:moveTo>
                  <a:pt x="847307" y="781999"/>
                </a:moveTo>
                <a:cubicBezTo>
                  <a:pt x="696076" y="915795"/>
                  <a:pt x="423246" y="998391"/>
                  <a:pt x="283986" y="913789"/>
                </a:cubicBezTo>
                <a:cubicBezTo>
                  <a:pt x="144727" y="829188"/>
                  <a:pt x="-49953" y="478121"/>
                  <a:pt x="11750" y="274390"/>
                </a:cubicBezTo>
                <a:cubicBezTo>
                  <a:pt x="70627" y="79989"/>
                  <a:pt x="302845" y="0"/>
                  <a:pt x="517746" y="0"/>
                </a:cubicBezTo>
                <a:lnTo>
                  <a:pt x="847307" y="781999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30" name="群組 29"/>
          <xdr:cNvGrpSpPr/>
        </xdr:nvGrpSpPr>
        <xdr:grpSpPr>
          <a:xfrm>
            <a:off x="4548689" y="2079215"/>
            <a:ext cx="502468" cy="438466"/>
            <a:chOff x="2351135" y="1160729"/>
            <a:chExt cx="502468" cy="438466"/>
          </a:xfrm>
        </xdr:grpSpPr>
        <xdr:sp macro="" textlink="">
          <xdr:nvSpPr>
            <xdr:cNvPr id="33" name="套索 30"/>
            <xdr:cNvSpPr/>
          </xdr:nvSpPr>
          <xdr:spPr>
            <a:xfrm rot="6767311">
              <a:off x="2383136" y="1128728"/>
              <a:ext cx="438466" cy="502468"/>
            </a:xfrm>
            <a:custGeom>
              <a:avLst/>
              <a:gdLst>
                <a:gd name="connsiteX0" fmla="*/ 810573 w 962025"/>
                <a:gd name="connsiteY0" fmla="*/ 781998 h 904875"/>
                <a:gd name="connsiteX1" fmla="*/ 251461 w 962025"/>
                <a:gd name="connsiteY1" fmla="*/ 850031 h 904875"/>
                <a:gd name="connsiteX2" fmla="*/ 18404 w 962025"/>
                <a:gd name="connsiteY2" fmla="*/ 328481 h 904875"/>
                <a:gd name="connsiteX3" fmla="*/ 481012 w 962025"/>
                <a:gd name="connsiteY3" fmla="*/ -1 h 904875"/>
                <a:gd name="connsiteX4" fmla="*/ 810573 w 962025"/>
                <a:gd name="connsiteY4" fmla="*/ 781998 h 904875"/>
                <a:gd name="connsiteX0" fmla="*/ 811081 w 811081"/>
                <a:gd name="connsiteY0" fmla="*/ 781999 h 951823"/>
                <a:gd name="connsiteX1" fmla="*/ 247760 w 811081"/>
                <a:gd name="connsiteY1" fmla="*/ 913789 h 951823"/>
                <a:gd name="connsiteX2" fmla="*/ 18912 w 811081"/>
                <a:gd name="connsiteY2" fmla="*/ 328482 h 951823"/>
                <a:gd name="connsiteX3" fmla="*/ 481520 w 811081"/>
                <a:gd name="connsiteY3" fmla="*/ 0 h 951823"/>
                <a:gd name="connsiteX4" fmla="*/ 811081 w 811081"/>
                <a:gd name="connsiteY4" fmla="*/ 781999 h 951823"/>
                <a:gd name="connsiteX0" fmla="*/ 847307 w 847307"/>
                <a:gd name="connsiteY0" fmla="*/ 781999 h 948076"/>
                <a:gd name="connsiteX1" fmla="*/ 283986 w 847307"/>
                <a:gd name="connsiteY1" fmla="*/ 913789 h 948076"/>
                <a:gd name="connsiteX2" fmla="*/ 11750 w 847307"/>
                <a:gd name="connsiteY2" fmla="*/ 274390 h 948076"/>
                <a:gd name="connsiteX3" fmla="*/ 517746 w 847307"/>
                <a:gd name="connsiteY3" fmla="*/ 0 h 948076"/>
                <a:gd name="connsiteX4" fmla="*/ 847307 w 847307"/>
                <a:gd name="connsiteY4" fmla="*/ 781999 h 9480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47307" h="948076">
                  <a:moveTo>
                    <a:pt x="847307" y="781999"/>
                  </a:moveTo>
                  <a:cubicBezTo>
                    <a:pt x="696076" y="915795"/>
                    <a:pt x="423246" y="998391"/>
                    <a:pt x="283986" y="913789"/>
                  </a:cubicBezTo>
                  <a:cubicBezTo>
                    <a:pt x="144727" y="829188"/>
                    <a:pt x="-49953" y="478121"/>
                    <a:pt x="11750" y="274390"/>
                  </a:cubicBezTo>
                  <a:cubicBezTo>
                    <a:pt x="70627" y="79989"/>
                    <a:pt x="302845" y="0"/>
                    <a:pt x="517746" y="0"/>
                  </a:cubicBezTo>
                  <a:lnTo>
                    <a:pt x="847307" y="781999"/>
                  </a:lnTo>
                  <a:close/>
                </a:path>
              </a:pathLst>
            </a:custGeom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40000"/>
                  <a:lumOff val="6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34" name="橢圓 33"/>
            <xdr:cNvSpPr/>
          </xdr:nvSpPr>
          <xdr:spPr>
            <a:xfrm>
              <a:off x="2439442" y="1301344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35" name="橢圓 34"/>
            <xdr:cNvSpPr/>
          </xdr:nvSpPr>
          <xdr:spPr>
            <a:xfrm>
              <a:off x="2648296" y="1304067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31" name="拱形 30"/>
          <xdr:cNvSpPr/>
        </xdr:nvSpPr>
        <xdr:spPr>
          <a:xfrm>
            <a:off x="4196918" y="1721305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2" name="拱形 31"/>
          <xdr:cNvSpPr/>
        </xdr:nvSpPr>
        <xdr:spPr>
          <a:xfrm>
            <a:off x="5032709" y="1723227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2</xdr:row>
      <xdr:rowOff>57150</xdr:rowOff>
    </xdr:from>
    <xdr:to>
      <xdr:col>3</xdr:col>
      <xdr:colOff>63922</xdr:colOff>
      <xdr:row>5</xdr:row>
      <xdr:rowOff>135030</xdr:rowOff>
    </xdr:to>
    <xdr:grpSp>
      <xdr:nvGrpSpPr>
        <xdr:cNvPr id="2" name="Projectile"/>
        <xdr:cNvGrpSpPr/>
      </xdr:nvGrpSpPr>
      <xdr:grpSpPr>
        <a:xfrm>
          <a:off x="552450" y="457200"/>
          <a:ext cx="1340272" cy="677955"/>
          <a:chOff x="1114533" y="884145"/>
          <a:chExt cx="1528579" cy="773207"/>
        </a:xfrm>
      </xdr:grpSpPr>
      <xdr:sp macro="" textlink="">
        <xdr:nvSpPr>
          <xdr:cNvPr id="3" name="直角三角形 2"/>
          <xdr:cNvSpPr/>
        </xdr:nvSpPr>
        <xdr:spPr>
          <a:xfrm rot="7001995">
            <a:off x="1287050" y="1206131"/>
            <a:ext cx="100695" cy="438352"/>
          </a:xfrm>
          <a:prstGeom prst="rtTriangl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4" name="直角三角形 3"/>
          <xdr:cNvSpPr/>
        </xdr:nvSpPr>
        <xdr:spPr>
          <a:xfrm rot="14066117" flipH="1" flipV="1">
            <a:off x="1351886" y="1297852"/>
            <a:ext cx="110094" cy="456802"/>
          </a:xfrm>
          <a:prstGeom prst="rtTriangl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5" name="直角三角形 4"/>
          <xdr:cNvSpPr/>
        </xdr:nvSpPr>
        <xdr:spPr>
          <a:xfrm rot="5400000">
            <a:off x="1286652" y="1268848"/>
            <a:ext cx="104885" cy="449123"/>
          </a:xfrm>
          <a:prstGeom prst="rtTriangl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6" name="橢圓 5"/>
          <xdr:cNvSpPr/>
        </xdr:nvSpPr>
        <xdr:spPr>
          <a:xfrm>
            <a:off x="1217520" y="884145"/>
            <a:ext cx="964265" cy="773207"/>
          </a:xfrm>
          <a:prstGeom prst="ellipse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7" name="等腰三角形 6"/>
          <xdr:cNvSpPr/>
        </xdr:nvSpPr>
        <xdr:spPr>
          <a:xfrm rot="6072811">
            <a:off x="2235578" y="965547"/>
            <a:ext cx="249183" cy="565885"/>
          </a:xfrm>
          <a:prstGeom prst="triangle">
            <a:avLst>
              <a:gd name="adj" fmla="val 63979"/>
            </a:avLst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8" name="橢圓 7"/>
          <xdr:cNvSpPr/>
        </xdr:nvSpPr>
        <xdr:spPr>
          <a:xfrm>
            <a:off x="1768560" y="1001804"/>
            <a:ext cx="233930" cy="234762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9" name="橢圓 8"/>
          <xdr:cNvSpPr/>
        </xdr:nvSpPr>
        <xdr:spPr>
          <a:xfrm>
            <a:off x="1856814" y="1091393"/>
            <a:ext cx="86845" cy="88024"/>
          </a:xfrm>
          <a:prstGeom prst="ellipse">
            <a:avLst/>
          </a:prstGeom>
          <a:solidFill>
            <a:schemeClr val="tx1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0" name="等腰三角形 9"/>
          <xdr:cNvSpPr/>
        </xdr:nvSpPr>
        <xdr:spPr>
          <a:xfrm rot="4497485">
            <a:off x="2191514" y="1156034"/>
            <a:ext cx="179899" cy="409289"/>
          </a:xfrm>
          <a:prstGeom prst="triangle">
            <a:avLst>
              <a:gd name="adj" fmla="val 63979"/>
            </a:avLst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1" name="矩形 10"/>
          <xdr:cNvSpPr/>
        </xdr:nvSpPr>
        <xdr:spPr>
          <a:xfrm rot="625274">
            <a:off x="1726624" y="897613"/>
            <a:ext cx="319846" cy="67896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2" name="橢圓 13"/>
          <xdr:cNvSpPr/>
        </xdr:nvSpPr>
        <xdr:spPr>
          <a:xfrm>
            <a:off x="1498964" y="1388028"/>
            <a:ext cx="587572" cy="253270"/>
          </a:xfrm>
          <a:custGeom>
            <a:avLst/>
            <a:gdLst>
              <a:gd name="connsiteX0" fmla="*/ 0 w 515471"/>
              <a:gd name="connsiteY0" fmla="*/ 168317 h 336634"/>
              <a:gd name="connsiteX1" fmla="*/ 257736 w 515471"/>
              <a:gd name="connsiteY1" fmla="*/ 0 h 336634"/>
              <a:gd name="connsiteX2" fmla="*/ 515472 w 515471"/>
              <a:gd name="connsiteY2" fmla="*/ 168317 h 336634"/>
              <a:gd name="connsiteX3" fmla="*/ 257736 w 515471"/>
              <a:gd name="connsiteY3" fmla="*/ 336634 h 336634"/>
              <a:gd name="connsiteX4" fmla="*/ 0 w 515471"/>
              <a:gd name="connsiteY4" fmla="*/ 168317 h 336634"/>
              <a:gd name="connsiteX0" fmla="*/ 104 w 515576"/>
              <a:gd name="connsiteY0" fmla="*/ 168317 h 269398"/>
              <a:gd name="connsiteX1" fmla="*/ 257840 w 515576"/>
              <a:gd name="connsiteY1" fmla="*/ 0 h 269398"/>
              <a:gd name="connsiteX2" fmla="*/ 515576 w 515576"/>
              <a:gd name="connsiteY2" fmla="*/ 168317 h 269398"/>
              <a:gd name="connsiteX3" fmla="*/ 235428 w 515576"/>
              <a:gd name="connsiteY3" fmla="*/ 269398 h 269398"/>
              <a:gd name="connsiteX4" fmla="*/ 104 w 515576"/>
              <a:gd name="connsiteY4" fmla="*/ 168317 h 269398"/>
              <a:gd name="connsiteX0" fmla="*/ 48 w 588358"/>
              <a:gd name="connsiteY0" fmla="*/ 282766 h 304054"/>
              <a:gd name="connsiteX1" fmla="*/ 330622 w 588358"/>
              <a:gd name="connsiteY1" fmla="*/ 2390 h 304054"/>
              <a:gd name="connsiteX2" fmla="*/ 588358 w 588358"/>
              <a:gd name="connsiteY2" fmla="*/ 170707 h 304054"/>
              <a:gd name="connsiteX3" fmla="*/ 308210 w 588358"/>
              <a:gd name="connsiteY3" fmla="*/ 271788 h 304054"/>
              <a:gd name="connsiteX4" fmla="*/ 48 w 588358"/>
              <a:gd name="connsiteY4" fmla="*/ 282766 h 304054"/>
              <a:gd name="connsiteX0" fmla="*/ 48 w 588358"/>
              <a:gd name="connsiteY0" fmla="*/ 282766 h 346003"/>
              <a:gd name="connsiteX1" fmla="*/ 330622 w 588358"/>
              <a:gd name="connsiteY1" fmla="*/ 2390 h 346003"/>
              <a:gd name="connsiteX2" fmla="*/ 588358 w 588358"/>
              <a:gd name="connsiteY2" fmla="*/ 170707 h 346003"/>
              <a:gd name="connsiteX3" fmla="*/ 308210 w 588358"/>
              <a:gd name="connsiteY3" fmla="*/ 339024 h 346003"/>
              <a:gd name="connsiteX4" fmla="*/ 48 w 588358"/>
              <a:gd name="connsiteY4" fmla="*/ 282766 h 346003"/>
              <a:gd name="connsiteX0" fmla="*/ 383 w 588693"/>
              <a:gd name="connsiteY0" fmla="*/ 195181 h 256632"/>
              <a:gd name="connsiteX1" fmla="*/ 252516 w 588693"/>
              <a:gd name="connsiteY1" fmla="*/ 10055 h 256632"/>
              <a:gd name="connsiteX2" fmla="*/ 588693 w 588693"/>
              <a:gd name="connsiteY2" fmla="*/ 83122 h 256632"/>
              <a:gd name="connsiteX3" fmla="*/ 308545 w 588693"/>
              <a:gd name="connsiteY3" fmla="*/ 251439 h 256632"/>
              <a:gd name="connsiteX4" fmla="*/ 383 w 588693"/>
              <a:gd name="connsiteY4" fmla="*/ 195181 h 256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88693" h="256632">
                <a:moveTo>
                  <a:pt x="383" y="195181"/>
                </a:moveTo>
                <a:cubicBezTo>
                  <a:pt x="-8955" y="154950"/>
                  <a:pt x="154464" y="28732"/>
                  <a:pt x="252516" y="10055"/>
                </a:cubicBezTo>
                <a:cubicBezTo>
                  <a:pt x="350568" y="-8622"/>
                  <a:pt x="588693" y="-9837"/>
                  <a:pt x="588693" y="83122"/>
                </a:cubicBezTo>
                <a:cubicBezTo>
                  <a:pt x="588693" y="176081"/>
                  <a:pt x="406597" y="232763"/>
                  <a:pt x="308545" y="251439"/>
                </a:cubicBezTo>
                <a:cubicBezTo>
                  <a:pt x="210493" y="270116"/>
                  <a:pt x="9721" y="235412"/>
                  <a:pt x="383" y="195181"/>
                </a:cubicBezTo>
                <a:close/>
              </a:path>
            </a:pathLst>
          </a:custGeom>
          <a:solidFill>
            <a:schemeClr val="accent6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4</xdr:col>
      <xdr:colOff>276225</xdr:colOff>
      <xdr:row>1</xdr:row>
      <xdr:rowOff>19050</xdr:rowOff>
    </xdr:from>
    <xdr:to>
      <xdr:col>6</xdr:col>
      <xdr:colOff>63313</xdr:colOff>
      <xdr:row>6</xdr:row>
      <xdr:rowOff>59889</xdr:rowOff>
    </xdr:to>
    <xdr:grpSp>
      <xdr:nvGrpSpPr>
        <xdr:cNvPr id="13" name="Target"/>
        <xdr:cNvGrpSpPr/>
      </xdr:nvGrpSpPr>
      <xdr:grpSpPr>
        <a:xfrm>
          <a:off x="2714625" y="219075"/>
          <a:ext cx="1006288" cy="1040964"/>
          <a:chOff x="4034518" y="1208314"/>
          <a:chExt cx="1496786" cy="1518557"/>
        </a:xfrm>
      </xdr:grpSpPr>
      <xdr:sp macro="" textlink="">
        <xdr:nvSpPr>
          <xdr:cNvPr id="14" name="橢圓 13"/>
          <xdr:cNvSpPr/>
        </xdr:nvSpPr>
        <xdr:spPr>
          <a:xfrm>
            <a:off x="4034518" y="1409700"/>
            <a:ext cx="1496786" cy="1317171"/>
          </a:xfrm>
          <a:prstGeom prst="ellipse">
            <a:avLst/>
          </a:prstGeom>
          <a:solidFill>
            <a:srgbClr val="92D05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15" name="群組 14"/>
          <xdr:cNvGrpSpPr/>
        </xdr:nvGrpSpPr>
        <xdr:grpSpPr>
          <a:xfrm>
            <a:off x="4131129" y="1279071"/>
            <a:ext cx="307520" cy="302078"/>
            <a:chOff x="4010024" y="1304924"/>
            <a:chExt cx="371475" cy="371475"/>
          </a:xfrm>
        </xdr:grpSpPr>
        <xdr:sp macro="" textlink="">
          <xdr:nvSpPr>
            <xdr:cNvPr id="30" name="橢圓 29"/>
            <xdr:cNvSpPr/>
          </xdr:nvSpPr>
          <xdr:spPr>
            <a:xfrm>
              <a:off x="4010024" y="1304924"/>
              <a:ext cx="371475" cy="371475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31" name="橢圓 30"/>
            <xdr:cNvSpPr/>
          </xdr:nvSpPr>
          <xdr:spPr>
            <a:xfrm>
              <a:off x="4114228" y="1456753"/>
              <a:ext cx="200597" cy="200597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grpSp>
        <xdr:nvGrpSpPr>
          <xdr:cNvPr id="16" name="群組 15"/>
          <xdr:cNvGrpSpPr/>
        </xdr:nvGrpSpPr>
        <xdr:grpSpPr>
          <a:xfrm>
            <a:off x="4871358" y="1208314"/>
            <a:ext cx="285750" cy="283029"/>
            <a:chOff x="5087711" y="1313351"/>
            <a:chExt cx="285750" cy="285750"/>
          </a:xfrm>
        </xdr:grpSpPr>
        <xdr:sp macro="" textlink="">
          <xdr:nvSpPr>
            <xdr:cNvPr id="28" name="橢圓 27"/>
            <xdr:cNvSpPr/>
          </xdr:nvSpPr>
          <xdr:spPr>
            <a:xfrm>
              <a:off x="5087711" y="1313351"/>
              <a:ext cx="285750" cy="285750"/>
            </a:xfrm>
            <a:prstGeom prst="ellipse">
              <a:avLst/>
            </a:prstGeom>
            <a:solidFill>
              <a:srgbClr val="92D05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9" name="橢圓 28"/>
            <xdr:cNvSpPr/>
          </xdr:nvSpPr>
          <xdr:spPr>
            <a:xfrm>
              <a:off x="5155882" y="1434203"/>
              <a:ext cx="154305" cy="154305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17" name="橢圓 16"/>
          <xdr:cNvSpPr/>
        </xdr:nvSpPr>
        <xdr:spPr>
          <a:xfrm>
            <a:off x="4185558" y="1828802"/>
            <a:ext cx="364671" cy="35922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8" name="橢圓 17"/>
          <xdr:cNvSpPr/>
        </xdr:nvSpPr>
        <xdr:spPr>
          <a:xfrm>
            <a:off x="4294369" y="1956665"/>
            <a:ext cx="142160" cy="140038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9" name="橢圓 18"/>
          <xdr:cNvSpPr/>
        </xdr:nvSpPr>
        <xdr:spPr>
          <a:xfrm>
            <a:off x="5016951" y="1828802"/>
            <a:ext cx="363600" cy="360879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0" name="橢圓 19"/>
          <xdr:cNvSpPr/>
        </xdr:nvSpPr>
        <xdr:spPr>
          <a:xfrm>
            <a:off x="5131477" y="1957250"/>
            <a:ext cx="141742" cy="140682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21" name="套索 30"/>
          <xdr:cNvSpPr/>
        </xdr:nvSpPr>
        <xdr:spPr>
          <a:xfrm rot="14832689" flipV="1">
            <a:off x="4655348" y="2311183"/>
            <a:ext cx="293818" cy="336706"/>
          </a:xfrm>
          <a:custGeom>
            <a:avLst/>
            <a:gdLst>
              <a:gd name="connsiteX0" fmla="*/ 810573 w 962025"/>
              <a:gd name="connsiteY0" fmla="*/ 781998 h 904875"/>
              <a:gd name="connsiteX1" fmla="*/ 251461 w 962025"/>
              <a:gd name="connsiteY1" fmla="*/ 850031 h 904875"/>
              <a:gd name="connsiteX2" fmla="*/ 18404 w 962025"/>
              <a:gd name="connsiteY2" fmla="*/ 328481 h 904875"/>
              <a:gd name="connsiteX3" fmla="*/ 481012 w 962025"/>
              <a:gd name="connsiteY3" fmla="*/ -1 h 904875"/>
              <a:gd name="connsiteX4" fmla="*/ 810573 w 962025"/>
              <a:gd name="connsiteY4" fmla="*/ 781998 h 904875"/>
              <a:gd name="connsiteX0" fmla="*/ 811081 w 811081"/>
              <a:gd name="connsiteY0" fmla="*/ 781999 h 951823"/>
              <a:gd name="connsiteX1" fmla="*/ 247760 w 811081"/>
              <a:gd name="connsiteY1" fmla="*/ 913789 h 951823"/>
              <a:gd name="connsiteX2" fmla="*/ 18912 w 811081"/>
              <a:gd name="connsiteY2" fmla="*/ 328482 h 951823"/>
              <a:gd name="connsiteX3" fmla="*/ 481520 w 811081"/>
              <a:gd name="connsiteY3" fmla="*/ 0 h 951823"/>
              <a:gd name="connsiteX4" fmla="*/ 811081 w 811081"/>
              <a:gd name="connsiteY4" fmla="*/ 781999 h 951823"/>
              <a:gd name="connsiteX0" fmla="*/ 847307 w 847307"/>
              <a:gd name="connsiteY0" fmla="*/ 781999 h 948076"/>
              <a:gd name="connsiteX1" fmla="*/ 283986 w 847307"/>
              <a:gd name="connsiteY1" fmla="*/ 913789 h 948076"/>
              <a:gd name="connsiteX2" fmla="*/ 11750 w 847307"/>
              <a:gd name="connsiteY2" fmla="*/ 274390 h 948076"/>
              <a:gd name="connsiteX3" fmla="*/ 517746 w 847307"/>
              <a:gd name="connsiteY3" fmla="*/ 0 h 948076"/>
              <a:gd name="connsiteX4" fmla="*/ 847307 w 847307"/>
              <a:gd name="connsiteY4" fmla="*/ 781999 h 9480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847307" h="948076">
                <a:moveTo>
                  <a:pt x="847307" y="781999"/>
                </a:moveTo>
                <a:cubicBezTo>
                  <a:pt x="696076" y="915795"/>
                  <a:pt x="423246" y="998391"/>
                  <a:pt x="283986" y="913789"/>
                </a:cubicBezTo>
                <a:cubicBezTo>
                  <a:pt x="144727" y="829188"/>
                  <a:pt x="-49953" y="478121"/>
                  <a:pt x="11750" y="274390"/>
                </a:cubicBezTo>
                <a:cubicBezTo>
                  <a:pt x="70627" y="79989"/>
                  <a:pt x="302845" y="0"/>
                  <a:pt x="517746" y="0"/>
                </a:cubicBezTo>
                <a:lnTo>
                  <a:pt x="847307" y="781999"/>
                </a:lnTo>
                <a:close/>
              </a:path>
            </a:pathLst>
          </a:cu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22" name="群組 21"/>
          <xdr:cNvGrpSpPr/>
        </xdr:nvGrpSpPr>
        <xdr:grpSpPr>
          <a:xfrm>
            <a:off x="4548689" y="2079215"/>
            <a:ext cx="502468" cy="438466"/>
            <a:chOff x="2351135" y="1160729"/>
            <a:chExt cx="502468" cy="438466"/>
          </a:xfrm>
        </xdr:grpSpPr>
        <xdr:sp macro="" textlink="">
          <xdr:nvSpPr>
            <xdr:cNvPr id="25" name="套索 30"/>
            <xdr:cNvSpPr/>
          </xdr:nvSpPr>
          <xdr:spPr>
            <a:xfrm rot="6767311">
              <a:off x="2383136" y="1128728"/>
              <a:ext cx="438466" cy="502468"/>
            </a:xfrm>
            <a:custGeom>
              <a:avLst/>
              <a:gdLst>
                <a:gd name="connsiteX0" fmla="*/ 810573 w 962025"/>
                <a:gd name="connsiteY0" fmla="*/ 781998 h 904875"/>
                <a:gd name="connsiteX1" fmla="*/ 251461 w 962025"/>
                <a:gd name="connsiteY1" fmla="*/ 850031 h 904875"/>
                <a:gd name="connsiteX2" fmla="*/ 18404 w 962025"/>
                <a:gd name="connsiteY2" fmla="*/ 328481 h 904875"/>
                <a:gd name="connsiteX3" fmla="*/ 481012 w 962025"/>
                <a:gd name="connsiteY3" fmla="*/ -1 h 904875"/>
                <a:gd name="connsiteX4" fmla="*/ 810573 w 962025"/>
                <a:gd name="connsiteY4" fmla="*/ 781998 h 904875"/>
                <a:gd name="connsiteX0" fmla="*/ 811081 w 811081"/>
                <a:gd name="connsiteY0" fmla="*/ 781999 h 951823"/>
                <a:gd name="connsiteX1" fmla="*/ 247760 w 811081"/>
                <a:gd name="connsiteY1" fmla="*/ 913789 h 951823"/>
                <a:gd name="connsiteX2" fmla="*/ 18912 w 811081"/>
                <a:gd name="connsiteY2" fmla="*/ 328482 h 951823"/>
                <a:gd name="connsiteX3" fmla="*/ 481520 w 811081"/>
                <a:gd name="connsiteY3" fmla="*/ 0 h 951823"/>
                <a:gd name="connsiteX4" fmla="*/ 811081 w 811081"/>
                <a:gd name="connsiteY4" fmla="*/ 781999 h 951823"/>
                <a:gd name="connsiteX0" fmla="*/ 847307 w 847307"/>
                <a:gd name="connsiteY0" fmla="*/ 781999 h 948076"/>
                <a:gd name="connsiteX1" fmla="*/ 283986 w 847307"/>
                <a:gd name="connsiteY1" fmla="*/ 913789 h 948076"/>
                <a:gd name="connsiteX2" fmla="*/ 11750 w 847307"/>
                <a:gd name="connsiteY2" fmla="*/ 274390 h 948076"/>
                <a:gd name="connsiteX3" fmla="*/ 517746 w 847307"/>
                <a:gd name="connsiteY3" fmla="*/ 0 h 948076"/>
                <a:gd name="connsiteX4" fmla="*/ 847307 w 847307"/>
                <a:gd name="connsiteY4" fmla="*/ 781999 h 9480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47307" h="948076">
                  <a:moveTo>
                    <a:pt x="847307" y="781999"/>
                  </a:moveTo>
                  <a:cubicBezTo>
                    <a:pt x="696076" y="915795"/>
                    <a:pt x="423246" y="998391"/>
                    <a:pt x="283986" y="913789"/>
                  </a:cubicBezTo>
                  <a:cubicBezTo>
                    <a:pt x="144727" y="829188"/>
                    <a:pt x="-49953" y="478121"/>
                    <a:pt x="11750" y="274390"/>
                  </a:cubicBezTo>
                  <a:cubicBezTo>
                    <a:pt x="70627" y="79989"/>
                    <a:pt x="302845" y="0"/>
                    <a:pt x="517746" y="0"/>
                  </a:cubicBezTo>
                  <a:lnTo>
                    <a:pt x="847307" y="781999"/>
                  </a:lnTo>
                  <a:close/>
                </a:path>
              </a:pathLst>
            </a:custGeom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40000"/>
                  <a:lumOff val="6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6" name="橢圓 25"/>
            <xdr:cNvSpPr/>
          </xdr:nvSpPr>
          <xdr:spPr>
            <a:xfrm>
              <a:off x="2439442" y="1301344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" textlink="">
          <xdr:nvSpPr>
            <xdr:cNvPr id="27" name="橢圓 26"/>
            <xdr:cNvSpPr/>
          </xdr:nvSpPr>
          <xdr:spPr>
            <a:xfrm>
              <a:off x="2648296" y="1304067"/>
              <a:ext cx="104775" cy="170949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23" name="拱形 22"/>
          <xdr:cNvSpPr/>
        </xdr:nvSpPr>
        <xdr:spPr>
          <a:xfrm>
            <a:off x="4196918" y="1721305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4" name="拱形 23"/>
          <xdr:cNvSpPr/>
        </xdr:nvSpPr>
        <xdr:spPr>
          <a:xfrm>
            <a:off x="5032709" y="1723227"/>
            <a:ext cx="327458" cy="183696"/>
          </a:xfrm>
          <a:prstGeom prst="blockArc">
            <a:avLst>
              <a:gd name="adj1" fmla="val 11189850"/>
              <a:gd name="adj2" fmla="val 21207551"/>
              <a:gd name="adj3" fmla="val 19597"/>
            </a:avLst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workbookViewId="0"/>
  </sheetViews>
  <sheetFormatPr defaultRowHeight="15.75" x14ac:dyDescent="0.25"/>
  <cols>
    <col min="1" max="16384" width="9.140625" style="5"/>
  </cols>
  <sheetData>
    <row r="1" spans="1:9" ht="23.25" x14ac:dyDescent="0.35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x14ac:dyDescent="0.25">
      <c r="A3" s="2" t="s">
        <v>1</v>
      </c>
      <c r="B3" s="2"/>
      <c r="C3" s="2"/>
      <c r="D3" s="2"/>
      <c r="E3" s="2"/>
      <c r="F3" s="2"/>
      <c r="G3" s="2"/>
      <c r="H3" s="2"/>
      <c r="I3" s="2"/>
    </row>
    <row r="4" spans="1:9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x14ac:dyDescent="0.25">
      <c r="A5" s="3" t="s">
        <v>2</v>
      </c>
      <c r="B5" s="4">
        <v>20</v>
      </c>
      <c r="C5" s="2"/>
      <c r="D5" s="2"/>
      <c r="E5" s="2"/>
      <c r="F5" s="2"/>
      <c r="G5" s="2"/>
      <c r="H5" s="2"/>
      <c r="I5" s="2"/>
    </row>
    <row r="6" spans="1:9" x14ac:dyDescent="0.25">
      <c r="A6" s="3" t="s">
        <v>3</v>
      </c>
      <c r="B6" s="4">
        <v>30</v>
      </c>
      <c r="C6" s="2"/>
      <c r="D6" s="2"/>
      <c r="E6" s="2"/>
      <c r="F6" s="2"/>
      <c r="G6" s="2"/>
      <c r="H6" s="2"/>
      <c r="I6" s="2"/>
    </row>
    <row r="7" spans="1:9" x14ac:dyDescent="0.25">
      <c r="A7" s="2"/>
      <c r="B7" s="2"/>
      <c r="C7" s="2"/>
      <c r="D7" s="2"/>
      <c r="E7" s="2"/>
      <c r="F7" s="2"/>
      <c r="G7" s="2"/>
      <c r="H7" s="2"/>
      <c r="I7" s="2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workbookViewId="0">
      <selection activeCell="D1" sqref="D1"/>
    </sheetView>
  </sheetViews>
  <sheetFormatPr defaultRowHeight="15.75" x14ac:dyDescent="0.25"/>
  <sheetData>
    <row r="1" spans="1:3" x14ac:dyDescent="0.25">
      <c r="A1" t="s">
        <v>4</v>
      </c>
      <c r="B1" t="s">
        <v>5</v>
      </c>
      <c r="C1" t="s">
        <v>6</v>
      </c>
    </row>
    <row r="2" spans="1:3" x14ac:dyDescent="0.25">
      <c r="A2">
        <v>0</v>
      </c>
      <c r="B2">
        <f t="shared" ref="B2:B33" si="0">Speed * COS(RADIANS(Angle)) * A2</f>
        <v>0</v>
      </c>
      <c r="C2">
        <f t="shared" ref="C2:C33" si="1">Speed * SIN(RADIANS(Angle)) * A2 - 0.5 * A2 * A2</f>
        <v>0</v>
      </c>
    </row>
    <row r="3" spans="1:3" x14ac:dyDescent="0.25">
      <c r="A3">
        <v>1</v>
      </c>
      <c r="B3">
        <f t="shared" si="0"/>
        <v>28.190778623577252</v>
      </c>
      <c r="C3">
        <f t="shared" si="1"/>
        <v>9.7606042997700619</v>
      </c>
    </row>
    <row r="4" spans="1:3" x14ac:dyDescent="0.25">
      <c r="A4">
        <v>2</v>
      </c>
      <c r="B4">
        <f t="shared" si="0"/>
        <v>56.381557247154504</v>
      </c>
      <c r="C4">
        <f t="shared" si="1"/>
        <v>18.521208599540124</v>
      </c>
    </row>
    <row r="5" spans="1:3" x14ac:dyDescent="0.25">
      <c r="A5">
        <v>3</v>
      </c>
      <c r="B5">
        <f t="shared" si="0"/>
        <v>84.572335870731763</v>
      </c>
      <c r="C5">
        <f t="shared" si="1"/>
        <v>26.281812899310186</v>
      </c>
    </row>
    <row r="6" spans="1:3" x14ac:dyDescent="0.25">
      <c r="A6">
        <v>4</v>
      </c>
      <c r="B6">
        <f t="shared" si="0"/>
        <v>112.76311449430901</v>
      </c>
      <c r="C6">
        <f t="shared" si="1"/>
        <v>33.042417199080248</v>
      </c>
    </row>
    <row r="7" spans="1:3" x14ac:dyDescent="0.25">
      <c r="A7">
        <v>5</v>
      </c>
      <c r="B7">
        <f t="shared" si="0"/>
        <v>140.95389311788625</v>
      </c>
      <c r="C7">
        <f t="shared" si="1"/>
        <v>38.803021498850313</v>
      </c>
    </row>
    <row r="8" spans="1:3" x14ac:dyDescent="0.25">
      <c r="A8">
        <v>6</v>
      </c>
      <c r="B8">
        <f t="shared" si="0"/>
        <v>169.14467174146353</v>
      </c>
      <c r="C8">
        <f t="shared" si="1"/>
        <v>43.563625798620372</v>
      </c>
    </row>
    <row r="9" spans="1:3" x14ac:dyDescent="0.25">
      <c r="A9">
        <v>7</v>
      </c>
      <c r="B9">
        <f t="shared" si="0"/>
        <v>197.33545036504077</v>
      </c>
      <c r="C9">
        <f t="shared" si="1"/>
        <v>47.32423009839043</v>
      </c>
    </row>
    <row r="10" spans="1:3" x14ac:dyDescent="0.25">
      <c r="A10">
        <v>8</v>
      </c>
      <c r="B10">
        <f t="shared" si="0"/>
        <v>225.52622898861802</v>
      </c>
      <c r="C10">
        <f t="shared" si="1"/>
        <v>50.084834398160496</v>
      </c>
    </row>
    <row r="11" spans="1:3" x14ac:dyDescent="0.25">
      <c r="A11">
        <v>9</v>
      </c>
      <c r="B11">
        <f t="shared" si="0"/>
        <v>253.71700761219526</v>
      </c>
      <c r="C11">
        <f t="shared" si="1"/>
        <v>51.845438697930561</v>
      </c>
    </row>
    <row r="12" spans="1:3" x14ac:dyDescent="0.25">
      <c r="A12">
        <v>10</v>
      </c>
      <c r="B12">
        <f t="shared" si="0"/>
        <v>281.90778623577251</v>
      </c>
      <c r="C12">
        <f t="shared" si="1"/>
        <v>52.606042997700627</v>
      </c>
    </row>
    <row r="13" spans="1:3" x14ac:dyDescent="0.25">
      <c r="A13">
        <v>11</v>
      </c>
      <c r="B13">
        <f t="shared" si="0"/>
        <v>310.09856485934978</v>
      </c>
      <c r="C13">
        <f t="shared" si="1"/>
        <v>52.366647297470678</v>
      </c>
    </row>
    <row r="14" spans="1:3" x14ac:dyDescent="0.25">
      <c r="A14">
        <v>12</v>
      </c>
      <c r="B14">
        <f t="shared" si="0"/>
        <v>338.28934348292705</v>
      </c>
      <c r="C14">
        <f t="shared" si="1"/>
        <v>51.127251597240743</v>
      </c>
    </row>
    <row r="15" spans="1:3" x14ac:dyDescent="0.25">
      <c r="A15">
        <v>13</v>
      </c>
      <c r="B15">
        <f t="shared" si="0"/>
        <v>366.48012210650427</v>
      </c>
      <c r="C15">
        <f t="shared" si="1"/>
        <v>48.887855897010809</v>
      </c>
    </row>
    <row r="16" spans="1:3" x14ac:dyDescent="0.25">
      <c r="A16">
        <v>14</v>
      </c>
      <c r="B16">
        <f t="shared" si="0"/>
        <v>394.67090073008154</v>
      </c>
      <c r="C16">
        <f t="shared" si="1"/>
        <v>45.64846019678086</v>
      </c>
    </row>
    <row r="17" spans="1:3" x14ac:dyDescent="0.25">
      <c r="A17">
        <v>15</v>
      </c>
      <c r="B17">
        <f t="shared" si="0"/>
        <v>422.86167935365876</v>
      </c>
      <c r="C17">
        <f t="shared" si="1"/>
        <v>41.40906449655094</v>
      </c>
    </row>
    <row r="18" spans="1:3" x14ac:dyDescent="0.25">
      <c r="A18">
        <v>16</v>
      </c>
      <c r="B18">
        <f t="shared" si="0"/>
        <v>451.05245797723603</v>
      </c>
      <c r="C18">
        <f t="shared" si="1"/>
        <v>36.169668796320991</v>
      </c>
    </row>
    <row r="19" spans="1:3" x14ac:dyDescent="0.25">
      <c r="A19">
        <v>17</v>
      </c>
      <c r="B19">
        <f t="shared" si="0"/>
        <v>479.2432366008133</v>
      </c>
      <c r="C19">
        <f t="shared" si="1"/>
        <v>29.930273096091042</v>
      </c>
    </row>
    <row r="20" spans="1:3" x14ac:dyDescent="0.25">
      <c r="A20">
        <v>18</v>
      </c>
      <c r="B20">
        <f t="shared" si="0"/>
        <v>507.43401522439052</v>
      </c>
      <c r="C20">
        <f t="shared" si="1"/>
        <v>22.690877395861122</v>
      </c>
    </row>
    <row r="21" spans="1:3" x14ac:dyDescent="0.25">
      <c r="A21">
        <v>19</v>
      </c>
      <c r="B21">
        <f t="shared" si="0"/>
        <v>535.62479384796779</v>
      </c>
      <c r="C21">
        <f t="shared" si="1"/>
        <v>14.451481695631173</v>
      </c>
    </row>
    <row r="22" spans="1:3" x14ac:dyDescent="0.25">
      <c r="A22">
        <v>20</v>
      </c>
      <c r="B22">
        <f t="shared" si="0"/>
        <v>563.81557247154501</v>
      </c>
      <c r="C22">
        <f t="shared" si="1"/>
        <v>5.2120859954012531</v>
      </c>
    </row>
    <row r="23" spans="1:3" x14ac:dyDescent="0.25">
      <c r="A23">
        <v>21</v>
      </c>
      <c r="B23">
        <f t="shared" si="0"/>
        <v>592.00635109512234</v>
      </c>
      <c r="C23">
        <f t="shared" si="1"/>
        <v>-5.0273097048286957</v>
      </c>
    </row>
    <row r="24" spans="1:3" x14ac:dyDescent="0.25">
      <c r="A24">
        <v>22</v>
      </c>
      <c r="B24">
        <f t="shared" si="0"/>
        <v>620.19712971869956</v>
      </c>
      <c r="C24">
        <f t="shared" si="1"/>
        <v>-16.266705405058644</v>
      </c>
    </row>
    <row r="25" spans="1:3" x14ac:dyDescent="0.25">
      <c r="A25">
        <v>23</v>
      </c>
      <c r="B25">
        <f t="shared" si="0"/>
        <v>648.38790834227677</v>
      </c>
      <c r="C25">
        <f t="shared" si="1"/>
        <v>-28.506101105288565</v>
      </c>
    </row>
    <row r="26" spans="1:3" x14ac:dyDescent="0.25">
      <c r="A26">
        <v>24</v>
      </c>
      <c r="B26">
        <f t="shared" si="0"/>
        <v>676.5786869658541</v>
      </c>
      <c r="C26">
        <f t="shared" si="1"/>
        <v>-41.745496805518513</v>
      </c>
    </row>
    <row r="27" spans="1:3" x14ac:dyDescent="0.25">
      <c r="A27">
        <v>25</v>
      </c>
      <c r="B27">
        <f t="shared" si="0"/>
        <v>704.76946558943132</v>
      </c>
      <c r="C27">
        <f t="shared" si="1"/>
        <v>-55.984892505748462</v>
      </c>
    </row>
    <row r="28" spans="1:3" x14ac:dyDescent="0.25">
      <c r="A28">
        <v>26</v>
      </c>
      <c r="B28">
        <f t="shared" si="0"/>
        <v>732.96024421300854</v>
      </c>
      <c r="C28">
        <f t="shared" si="1"/>
        <v>-71.224288205978382</v>
      </c>
    </row>
    <row r="29" spans="1:3" x14ac:dyDescent="0.25">
      <c r="A29">
        <v>27</v>
      </c>
      <c r="B29">
        <f t="shared" si="0"/>
        <v>761.15102283658575</v>
      </c>
      <c r="C29">
        <f t="shared" si="1"/>
        <v>-87.463683906208303</v>
      </c>
    </row>
    <row r="30" spans="1:3" x14ac:dyDescent="0.25">
      <c r="A30">
        <v>28</v>
      </c>
      <c r="B30">
        <f t="shared" si="0"/>
        <v>789.34180146016308</v>
      </c>
      <c r="C30">
        <f t="shared" si="1"/>
        <v>-104.70307960643828</v>
      </c>
    </row>
    <row r="31" spans="1:3" x14ac:dyDescent="0.25">
      <c r="A31">
        <v>29</v>
      </c>
      <c r="B31">
        <f t="shared" si="0"/>
        <v>817.5325800837403</v>
      </c>
      <c r="C31">
        <f t="shared" si="1"/>
        <v>-122.9424753066682</v>
      </c>
    </row>
    <row r="32" spans="1:3" x14ac:dyDescent="0.25">
      <c r="A32">
        <v>30</v>
      </c>
      <c r="B32">
        <f t="shared" si="0"/>
        <v>845.72335870731752</v>
      </c>
      <c r="C32">
        <f t="shared" si="1"/>
        <v>-142.18187100689812</v>
      </c>
    </row>
    <row r="33" spans="1:3" x14ac:dyDescent="0.25">
      <c r="A33">
        <v>31</v>
      </c>
      <c r="B33">
        <f t="shared" si="0"/>
        <v>873.91413733089485</v>
      </c>
      <c r="C33">
        <f t="shared" si="1"/>
        <v>-162.4212667071281</v>
      </c>
    </row>
    <row r="34" spans="1:3" x14ac:dyDescent="0.25">
      <c r="A34">
        <v>32</v>
      </c>
      <c r="B34">
        <f t="shared" ref="B34:B65" si="2">Speed * COS(RADIANS(Angle)) * A34</f>
        <v>902.10491595447206</v>
      </c>
      <c r="C34">
        <f t="shared" ref="C34:C65" si="3">Speed * SIN(RADIANS(Angle)) * A34 - 0.5 * A34 * A34</f>
        <v>-183.66066240735802</v>
      </c>
    </row>
    <row r="35" spans="1:3" x14ac:dyDescent="0.25">
      <c r="A35">
        <v>33</v>
      </c>
      <c r="B35">
        <f t="shared" si="2"/>
        <v>930.29569457804928</v>
      </c>
      <c r="C35">
        <f t="shared" si="3"/>
        <v>-205.90005810758794</v>
      </c>
    </row>
    <row r="36" spans="1:3" x14ac:dyDescent="0.25">
      <c r="A36">
        <v>34</v>
      </c>
      <c r="B36">
        <f t="shared" si="2"/>
        <v>958.48647320162661</v>
      </c>
      <c r="C36">
        <f t="shared" si="3"/>
        <v>-229.13945380781792</v>
      </c>
    </row>
    <row r="37" spans="1:3" x14ac:dyDescent="0.25">
      <c r="A37">
        <v>35</v>
      </c>
      <c r="B37">
        <f t="shared" si="2"/>
        <v>986.67725182520383</v>
      </c>
      <c r="C37">
        <f t="shared" si="3"/>
        <v>-253.37884950804784</v>
      </c>
    </row>
    <row r="38" spans="1:3" x14ac:dyDescent="0.25">
      <c r="A38">
        <v>36</v>
      </c>
      <c r="B38">
        <f t="shared" si="2"/>
        <v>1014.868030448781</v>
      </c>
      <c r="C38">
        <f t="shared" si="3"/>
        <v>-278.61824520827776</v>
      </c>
    </row>
    <row r="39" spans="1:3" x14ac:dyDescent="0.25">
      <c r="A39">
        <v>37</v>
      </c>
      <c r="B39">
        <f t="shared" si="2"/>
        <v>1043.0588090723584</v>
      </c>
      <c r="C39">
        <f t="shared" si="3"/>
        <v>-304.85764090850773</v>
      </c>
    </row>
    <row r="40" spans="1:3" x14ac:dyDescent="0.25">
      <c r="A40">
        <v>38</v>
      </c>
      <c r="B40">
        <f t="shared" si="2"/>
        <v>1071.2495876959356</v>
      </c>
      <c r="C40">
        <f t="shared" si="3"/>
        <v>-332.09703660873765</v>
      </c>
    </row>
    <row r="41" spans="1:3" x14ac:dyDescent="0.25">
      <c r="A41">
        <v>39</v>
      </c>
      <c r="B41">
        <f t="shared" si="2"/>
        <v>1099.4403663195128</v>
      </c>
      <c r="C41">
        <f t="shared" si="3"/>
        <v>-360.33643230896757</v>
      </c>
    </row>
    <row r="42" spans="1:3" x14ac:dyDescent="0.25">
      <c r="A42">
        <v>40</v>
      </c>
      <c r="B42">
        <f t="shared" si="2"/>
        <v>1127.63114494309</v>
      </c>
      <c r="C42">
        <f t="shared" si="3"/>
        <v>-389.57582800919749</v>
      </c>
    </row>
    <row r="43" spans="1:3" x14ac:dyDescent="0.25">
      <c r="A43">
        <v>41</v>
      </c>
      <c r="B43">
        <f t="shared" si="2"/>
        <v>1155.8219235666672</v>
      </c>
      <c r="C43">
        <f t="shared" si="3"/>
        <v>-419.81522370942747</v>
      </c>
    </row>
    <row r="44" spans="1:3" x14ac:dyDescent="0.25">
      <c r="A44">
        <v>42</v>
      </c>
      <c r="B44">
        <f t="shared" si="2"/>
        <v>1184.0127021902447</v>
      </c>
      <c r="C44">
        <f t="shared" si="3"/>
        <v>-451.05461940965739</v>
      </c>
    </row>
    <row r="45" spans="1:3" x14ac:dyDescent="0.25">
      <c r="A45">
        <v>43</v>
      </c>
      <c r="B45">
        <f t="shared" si="2"/>
        <v>1212.2034808138219</v>
      </c>
      <c r="C45">
        <f t="shared" si="3"/>
        <v>-483.29401510988731</v>
      </c>
    </row>
    <row r="46" spans="1:3" x14ac:dyDescent="0.25">
      <c r="A46">
        <v>44</v>
      </c>
      <c r="B46">
        <f t="shared" si="2"/>
        <v>1240.3942594373991</v>
      </c>
      <c r="C46">
        <f t="shared" si="3"/>
        <v>-516.53341081011729</v>
      </c>
    </row>
    <row r="47" spans="1:3" x14ac:dyDescent="0.25">
      <c r="A47">
        <v>45</v>
      </c>
      <c r="B47">
        <f t="shared" si="2"/>
        <v>1268.5850380609763</v>
      </c>
      <c r="C47">
        <f t="shared" si="3"/>
        <v>-550.77280651034721</v>
      </c>
    </row>
    <row r="48" spans="1:3" x14ac:dyDescent="0.25">
      <c r="A48">
        <v>46</v>
      </c>
      <c r="B48">
        <f t="shared" si="2"/>
        <v>1296.7758166845535</v>
      </c>
      <c r="C48">
        <f t="shared" si="3"/>
        <v>-586.01220221057713</v>
      </c>
    </row>
    <row r="49" spans="1:3" x14ac:dyDescent="0.25">
      <c r="A49">
        <v>47</v>
      </c>
      <c r="B49">
        <f t="shared" si="2"/>
        <v>1324.9665953081308</v>
      </c>
      <c r="C49">
        <f t="shared" si="3"/>
        <v>-622.25159791080705</v>
      </c>
    </row>
    <row r="50" spans="1:3" x14ac:dyDescent="0.25">
      <c r="A50">
        <v>48</v>
      </c>
      <c r="B50">
        <f t="shared" si="2"/>
        <v>1353.1573739317082</v>
      </c>
      <c r="C50">
        <f t="shared" si="3"/>
        <v>-659.49099361103708</v>
      </c>
    </row>
    <row r="51" spans="1:3" x14ac:dyDescent="0.25">
      <c r="A51">
        <v>49</v>
      </c>
      <c r="B51">
        <f t="shared" si="2"/>
        <v>1381.3481525552854</v>
      </c>
      <c r="C51">
        <f t="shared" si="3"/>
        <v>-697.73038931126689</v>
      </c>
    </row>
    <row r="52" spans="1:3" x14ac:dyDescent="0.25">
      <c r="A52">
        <v>50</v>
      </c>
      <c r="B52">
        <f t="shared" si="2"/>
        <v>1409.5389311788626</v>
      </c>
      <c r="C52">
        <f t="shared" si="3"/>
        <v>-736.96978501149692</v>
      </c>
    </row>
    <row r="53" spans="1:3" x14ac:dyDescent="0.25">
      <c r="A53">
        <v>51</v>
      </c>
      <c r="B53">
        <f t="shared" si="2"/>
        <v>1437.7297098024399</v>
      </c>
      <c r="C53">
        <f t="shared" si="3"/>
        <v>-777.20918071172684</v>
      </c>
    </row>
    <row r="54" spans="1:3" x14ac:dyDescent="0.25">
      <c r="A54">
        <v>52</v>
      </c>
      <c r="B54">
        <f t="shared" si="2"/>
        <v>1465.9204884260171</v>
      </c>
      <c r="C54">
        <f t="shared" si="3"/>
        <v>-818.44857641195676</v>
      </c>
    </row>
    <row r="55" spans="1:3" x14ac:dyDescent="0.25">
      <c r="A55">
        <v>53</v>
      </c>
      <c r="B55">
        <f t="shared" si="2"/>
        <v>1494.1112670495943</v>
      </c>
      <c r="C55">
        <f t="shared" si="3"/>
        <v>-860.68797211218669</v>
      </c>
    </row>
    <row r="56" spans="1:3" x14ac:dyDescent="0.25">
      <c r="A56">
        <v>54</v>
      </c>
      <c r="B56">
        <f t="shared" si="2"/>
        <v>1522.3020456731715</v>
      </c>
      <c r="C56">
        <f t="shared" si="3"/>
        <v>-903.92736781241661</v>
      </c>
    </row>
    <row r="57" spans="1:3" x14ac:dyDescent="0.25">
      <c r="A57">
        <v>55</v>
      </c>
      <c r="B57">
        <f t="shared" si="2"/>
        <v>1550.4928242967489</v>
      </c>
      <c r="C57">
        <f t="shared" si="3"/>
        <v>-948.16676351264664</v>
      </c>
    </row>
    <row r="58" spans="1:3" x14ac:dyDescent="0.25">
      <c r="A58">
        <v>56</v>
      </c>
      <c r="B58">
        <f t="shared" si="2"/>
        <v>1578.6836029203262</v>
      </c>
      <c r="C58">
        <f t="shared" si="3"/>
        <v>-993.40615921287656</v>
      </c>
    </row>
    <row r="59" spans="1:3" x14ac:dyDescent="0.25">
      <c r="A59">
        <v>57</v>
      </c>
      <c r="B59">
        <f t="shared" si="2"/>
        <v>1606.8743815439034</v>
      </c>
      <c r="C59">
        <f t="shared" si="3"/>
        <v>-1039.6455549131065</v>
      </c>
    </row>
    <row r="60" spans="1:3" x14ac:dyDescent="0.25">
      <c r="A60">
        <v>58</v>
      </c>
      <c r="B60">
        <f t="shared" si="2"/>
        <v>1635.0651601674806</v>
      </c>
      <c r="C60">
        <f t="shared" si="3"/>
        <v>-1086.8849506133365</v>
      </c>
    </row>
    <row r="61" spans="1:3" x14ac:dyDescent="0.25">
      <c r="A61">
        <v>59</v>
      </c>
      <c r="B61">
        <f t="shared" si="2"/>
        <v>1663.2559387910578</v>
      </c>
      <c r="C61">
        <f t="shared" si="3"/>
        <v>-1135.1243463135663</v>
      </c>
    </row>
    <row r="62" spans="1:3" x14ac:dyDescent="0.25">
      <c r="A62">
        <v>60</v>
      </c>
      <c r="B62">
        <f t="shared" si="2"/>
        <v>1691.446717414635</v>
      </c>
      <c r="C62">
        <f t="shared" si="3"/>
        <v>-1184.3637420137961</v>
      </c>
    </row>
    <row r="63" spans="1:3" x14ac:dyDescent="0.25">
      <c r="A63">
        <v>61</v>
      </c>
      <c r="B63">
        <f t="shared" si="2"/>
        <v>1719.6374960382125</v>
      </c>
      <c r="C63">
        <f t="shared" si="3"/>
        <v>-1234.6031377140262</v>
      </c>
    </row>
    <row r="64" spans="1:3" x14ac:dyDescent="0.25">
      <c r="A64">
        <v>62</v>
      </c>
      <c r="B64">
        <f t="shared" si="2"/>
        <v>1747.8282746617897</v>
      </c>
      <c r="C64">
        <f t="shared" si="3"/>
        <v>-1285.8425334142562</v>
      </c>
    </row>
    <row r="65" spans="1:3" x14ac:dyDescent="0.25">
      <c r="A65">
        <v>63</v>
      </c>
      <c r="B65">
        <f t="shared" si="2"/>
        <v>1776.0190532853669</v>
      </c>
      <c r="C65">
        <f t="shared" si="3"/>
        <v>-1338.0819291144862</v>
      </c>
    </row>
    <row r="66" spans="1:3" x14ac:dyDescent="0.25">
      <c r="A66">
        <v>64</v>
      </c>
      <c r="B66">
        <f t="shared" ref="B66:B97" si="4">Speed * COS(RADIANS(Angle)) * A66</f>
        <v>1804.2098319089441</v>
      </c>
      <c r="C66">
        <f t="shared" ref="C66:C102" si="5">Speed * SIN(RADIANS(Angle)) * A66 - 0.5 * A66 * A66</f>
        <v>-1391.321324814716</v>
      </c>
    </row>
    <row r="67" spans="1:3" x14ac:dyDescent="0.25">
      <c r="A67">
        <v>65</v>
      </c>
      <c r="B67">
        <f t="shared" si="4"/>
        <v>1832.4006105325213</v>
      </c>
      <c r="C67">
        <f t="shared" si="5"/>
        <v>-1445.5607205149458</v>
      </c>
    </row>
    <row r="68" spans="1:3" x14ac:dyDescent="0.25">
      <c r="A68">
        <v>66</v>
      </c>
      <c r="B68">
        <f t="shared" si="4"/>
        <v>1860.5913891560986</v>
      </c>
      <c r="C68">
        <f t="shared" si="5"/>
        <v>-1500.8001162151759</v>
      </c>
    </row>
    <row r="69" spans="1:3" x14ac:dyDescent="0.25">
      <c r="A69">
        <v>67</v>
      </c>
      <c r="B69">
        <f t="shared" si="4"/>
        <v>1888.7821677796758</v>
      </c>
      <c r="C69">
        <f t="shared" si="5"/>
        <v>-1557.0395119154059</v>
      </c>
    </row>
    <row r="70" spans="1:3" x14ac:dyDescent="0.25">
      <c r="A70">
        <v>68</v>
      </c>
      <c r="B70">
        <f t="shared" si="4"/>
        <v>1916.9729464032532</v>
      </c>
      <c r="C70">
        <f t="shared" si="5"/>
        <v>-1614.2789076156359</v>
      </c>
    </row>
    <row r="71" spans="1:3" x14ac:dyDescent="0.25">
      <c r="A71">
        <v>69</v>
      </c>
      <c r="B71">
        <f t="shared" si="4"/>
        <v>1945.1637250268304</v>
      </c>
      <c r="C71">
        <f t="shared" si="5"/>
        <v>-1672.5183033158658</v>
      </c>
    </row>
    <row r="72" spans="1:3" x14ac:dyDescent="0.25">
      <c r="A72">
        <v>70</v>
      </c>
      <c r="B72">
        <f t="shared" si="4"/>
        <v>1973.3545036504077</v>
      </c>
      <c r="C72">
        <f t="shared" si="5"/>
        <v>-1731.7576990160956</v>
      </c>
    </row>
    <row r="73" spans="1:3" x14ac:dyDescent="0.25">
      <c r="A73">
        <v>71</v>
      </c>
      <c r="B73">
        <f t="shared" si="4"/>
        <v>2001.5452822739849</v>
      </c>
      <c r="C73">
        <f t="shared" si="5"/>
        <v>-1791.9970947163256</v>
      </c>
    </row>
    <row r="74" spans="1:3" x14ac:dyDescent="0.25">
      <c r="A74">
        <v>72</v>
      </c>
      <c r="B74">
        <f t="shared" si="4"/>
        <v>2029.7360608975621</v>
      </c>
      <c r="C74">
        <f t="shared" si="5"/>
        <v>-1853.2364904165556</v>
      </c>
    </row>
    <row r="75" spans="1:3" x14ac:dyDescent="0.25">
      <c r="A75">
        <v>73</v>
      </c>
      <c r="B75">
        <f t="shared" si="4"/>
        <v>2057.9268395211393</v>
      </c>
      <c r="C75">
        <f t="shared" si="5"/>
        <v>-1915.4758861167854</v>
      </c>
    </row>
    <row r="76" spans="1:3" x14ac:dyDescent="0.25">
      <c r="A76">
        <v>74</v>
      </c>
      <c r="B76">
        <f t="shared" si="4"/>
        <v>2086.1176181447167</v>
      </c>
      <c r="C76">
        <f t="shared" si="5"/>
        <v>-1978.7152818170155</v>
      </c>
    </row>
    <row r="77" spans="1:3" x14ac:dyDescent="0.25">
      <c r="A77">
        <v>75</v>
      </c>
      <c r="B77">
        <f t="shared" si="4"/>
        <v>2114.3083967682937</v>
      </c>
      <c r="C77">
        <f t="shared" si="5"/>
        <v>-2042.9546775172453</v>
      </c>
    </row>
    <row r="78" spans="1:3" x14ac:dyDescent="0.25">
      <c r="A78">
        <v>76</v>
      </c>
      <c r="B78">
        <f t="shared" si="4"/>
        <v>2142.4991753918712</v>
      </c>
      <c r="C78">
        <f t="shared" si="5"/>
        <v>-2108.1940732174753</v>
      </c>
    </row>
    <row r="79" spans="1:3" x14ac:dyDescent="0.25">
      <c r="A79">
        <v>77</v>
      </c>
      <c r="B79">
        <f t="shared" si="4"/>
        <v>2170.6899540154486</v>
      </c>
      <c r="C79">
        <f t="shared" si="5"/>
        <v>-2174.4334689177053</v>
      </c>
    </row>
    <row r="80" spans="1:3" x14ac:dyDescent="0.25">
      <c r="A80">
        <v>78</v>
      </c>
      <c r="B80">
        <f t="shared" si="4"/>
        <v>2198.8807326390256</v>
      </c>
      <c r="C80">
        <f t="shared" si="5"/>
        <v>-2241.6728646179354</v>
      </c>
    </row>
    <row r="81" spans="1:3" x14ac:dyDescent="0.25">
      <c r="A81">
        <v>79</v>
      </c>
      <c r="B81">
        <f t="shared" si="4"/>
        <v>2227.0715112626031</v>
      </c>
      <c r="C81">
        <f t="shared" si="5"/>
        <v>-2309.912260318165</v>
      </c>
    </row>
    <row r="82" spans="1:3" x14ac:dyDescent="0.25">
      <c r="A82">
        <v>80</v>
      </c>
      <c r="B82">
        <f t="shared" si="4"/>
        <v>2255.26228988618</v>
      </c>
      <c r="C82">
        <f t="shared" si="5"/>
        <v>-2379.151656018395</v>
      </c>
    </row>
    <row r="83" spans="1:3" x14ac:dyDescent="0.25">
      <c r="A83">
        <v>81</v>
      </c>
      <c r="B83">
        <f t="shared" si="4"/>
        <v>2283.4530685097575</v>
      </c>
      <c r="C83">
        <f t="shared" si="5"/>
        <v>-2449.391051718625</v>
      </c>
    </row>
    <row r="84" spans="1:3" x14ac:dyDescent="0.25">
      <c r="A84">
        <v>82</v>
      </c>
      <c r="B84">
        <f t="shared" si="4"/>
        <v>2311.6438471333345</v>
      </c>
      <c r="C84">
        <f t="shared" si="5"/>
        <v>-2520.6304474188551</v>
      </c>
    </row>
    <row r="85" spans="1:3" x14ac:dyDescent="0.25">
      <c r="A85">
        <v>83</v>
      </c>
      <c r="B85">
        <f t="shared" si="4"/>
        <v>2339.8346257569119</v>
      </c>
      <c r="C85">
        <f t="shared" si="5"/>
        <v>-2592.8698431190851</v>
      </c>
    </row>
    <row r="86" spans="1:3" x14ac:dyDescent="0.25">
      <c r="A86">
        <v>84</v>
      </c>
      <c r="B86">
        <f t="shared" si="4"/>
        <v>2368.0254043804894</v>
      </c>
      <c r="C86">
        <f t="shared" si="5"/>
        <v>-2666.1092388193147</v>
      </c>
    </row>
    <row r="87" spans="1:3" x14ac:dyDescent="0.25">
      <c r="A87">
        <v>85</v>
      </c>
      <c r="B87">
        <f t="shared" si="4"/>
        <v>2396.2161830040664</v>
      </c>
      <c r="C87">
        <f t="shared" si="5"/>
        <v>-2740.3486345195447</v>
      </c>
    </row>
    <row r="88" spans="1:3" x14ac:dyDescent="0.25">
      <c r="A88">
        <v>86</v>
      </c>
      <c r="B88">
        <f t="shared" si="4"/>
        <v>2424.4069616276438</v>
      </c>
      <c r="C88">
        <f t="shared" si="5"/>
        <v>-2815.5880302197747</v>
      </c>
    </row>
    <row r="89" spans="1:3" x14ac:dyDescent="0.25">
      <c r="A89">
        <v>87</v>
      </c>
      <c r="B89">
        <f t="shared" si="4"/>
        <v>2452.5977402512208</v>
      </c>
      <c r="C89">
        <f t="shared" si="5"/>
        <v>-2891.8274259200048</v>
      </c>
    </row>
    <row r="90" spans="1:3" x14ac:dyDescent="0.25">
      <c r="A90">
        <v>88</v>
      </c>
      <c r="B90">
        <f t="shared" si="4"/>
        <v>2480.7885188747982</v>
      </c>
      <c r="C90">
        <f t="shared" si="5"/>
        <v>-2969.0668216202348</v>
      </c>
    </row>
    <row r="91" spans="1:3" x14ac:dyDescent="0.25">
      <c r="A91">
        <v>89</v>
      </c>
      <c r="B91">
        <f t="shared" si="4"/>
        <v>2508.9792974983752</v>
      </c>
      <c r="C91">
        <f t="shared" si="5"/>
        <v>-3047.3062173204644</v>
      </c>
    </row>
    <row r="92" spans="1:3" x14ac:dyDescent="0.25">
      <c r="A92">
        <v>90</v>
      </c>
      <c r="B92">
        <f t="shared" si="4"/>
        <v>2537.1700761219527</v>
      </c>
      <c r="C92">
        <f t="shared" si="5"/>
        <v>-3126.5456130206944</v>
      </c>
    </row>
    <row r="93" spans="1:3" x14ac:dyDescent="0.25">
      <c r="A93">
        <v>91</v>
      </c>
      <c r="B93">
        <f t="shared" si="4"/>
        <v>2565.3608547455301</v>
      </c>
      <c r="C93">
        <f t="shared" si="5"/>
        <v>-3206.7850087209245</v>
      </c>
    </row>
    <row r="94" spans="1:3" x14ac:dyDescent="0.25">
      <c r="A94">
        <v>92</v>
      </c>
      <c r="B94">
        <f t="shared" si="4"/>
        <v>2593.5516333691071</v>
      </c>
      <c r="C94">
        <f t="shared" si="5"/>
        <v>-3288.024404421154</v>
      </c>
    </row>
    <row r="95" spans="1:3" x14ac:dyDescent="0.25">
      <c r="A95">
        <v>93</v>
      </c>
      <c r="B95">
        <f t="shared" si="4"/>
        <v>2621.7424119926845</v>
      </c>
      <c r="C95">
        <f t="shared" si="5"/>
        <v>-3370.2638001213845</v>
      </c>
    </row>
    <row r="96" spans="1:3" x14ac:dyDescent="0.25">
      <c r="A96">
        <v>94</v>
      </c>
      <c r="B96">
        <f t="shared" si="4"/>
        <v>2649.9331906162615</v>
      </c>
      <c r="C96">
        <f t="shared" si="5"/>
        <v>-3453.5031958216141</v>
      </c>
    </row>
    <row r="97" spans="1:3" x14ac:dyDescent="0.25">
      <c r="A97">
        <v>95</v>
      </c>
      <c r="B97">
        <f t="shared" si="4"/>
        <v>2678.123969239839</v>
      </c>
      <c r="C97">
        <f t="shared" si="5"/>
        <v>-3537.7425915218441</v>
      </c>
    </row>
    <row r="98" spans="1:3" x14ac:dyDescent="0.25">
      <c r="A98">
        <v>96</v>
      </c>
      <c r="B98">
        <f t="shared" ref="B98:B102" si="6">Speed * COS(RADIANS(Angle)) * A98</f>
        <v>2706.3147478634164</v>
      </c>
      <c r="C98">
        <f t="shared" si="5"/>
        <v>-3622.9819872220742</v>
      </c>
    </row>
    <row r="99" spans="1:3" x14ac:dyDescent="0.25">
      <c r="A99">
        <v>97</v>
      </c>
      <c r="B99">
        <f t="shared" si="6"/>
        <v>2734.5055264869934</v>
      </c>
      <c r="C99">
        <f t="shared" si="5"/>
        <v>-3709.2213829223037</v>
      </c>
    </row>
    <row r="100" spans="1:3" x14ac:dyDescent="0.25">
      <c r="A100">
        <v>98</v>
      </c>
      <c r="B100">
        <f t="shared" si="6"/>
        <v>2762.6963051105708</v>
      </c>
      <c r="C100">
        <f t="shared" si="5"/>
        <v>-3796.4607786225338</v>
      </c>
    </row>
    <row r="101" spans="1:3" x14ac:dyDescent="0.25">
      <c r="A101">
        <v>99</v>
      </c>
      <c r="B101">
        <f t="shared" si="6"/>
        <v>2790.8870837341478</v>
      </c>
      <c r="C101">
        <f t="shared" si="5"/>
        <v>-3884.7001743227638</v>
      </c>
    </row>
    <row r="102" spans="1:3" x14ac:dyDescent="0.25">
      <c r="A102">
        <v>100</v>
      </c>
      <c r="B102">
        <f t="shared" si="6"/>
        <v>2819.0778623577253</v>
      </c>
      <c r="C102">
        <f t="shared" si="5"/>
        <v>-3973.9395700229938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Game</vt:lpstr>
      <vt:lpstr>Pictures</vt:lpstr>
      <vt:lpstr>Calculations</vt:lpstr>
      <vt:lpstr>Angle</vt:lpstr>
      <vt:lpstr>Speed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Jason</cp:lastModifiedBy>
  <dcterms:created xsi:type="dcterms:W3CDTF">2011-08-15T04:12:03Z</dcterms:created>
  <dcterms:modified xsi:type="dcterms:W3CDTF">2013-10-22T15:51:14Z</dcterms:modified>
</cp:coreProperties>
</file>