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30" windowWidth="13260" windowHeight="8070"/>
  </bookViews>
  <sheets>
    <sheet name="Game" sheetId="1" r:id="rId1"/>
    <sheet name="Pictures" sheetId="2" r:id="rId2"/>
    <sheet name="Calculations" sheetId="3" r:id="rId3"/>
  </sheets>
  <definedNames>
    <definedName name="Angle">Game!$B$5</definedName>
    <definedName name="Speed">Game!$B$6</definedName>
  </definedNames>
  <calcPr calcId="145621"/>
</workbook>
</file>

<file path=xl/calcChain.xml><?xml version="1.0" encoding="utf-8"?>
<calcChain xmlns="http://schemas.openxmlformats.org/spreadsheetml/2006/main">
  <c r="B4" i="3" l="1"/>
  <c r="C4" i="3"/>
  <c r="B5" i="3"/>
  <c r="C5" i="3"/>
  <c r="B6" i="3"/>
  <c r="C6" i="3"/>
  <c r="B7" i="3"/>
  <c r="C7" i="3"/>
  <c r="B8" i="3"/>
  <c r="C8" i="3"/>
  <c r="B9" i="3"/>
  <c r="C9" i="3"/>
  <c r="B10" i="3"/>
  <c r="C10" i="3"/>
  <c r="B11" i="3"/>
  <c r="C11" i="3"/>
  <c r="B12" i="3"/>
  <c r="C12" i="3"/>
  <c r="B13" i="3"/>
  <c r="C13" i="3"/>
  <c r="B14" i="3"/>
  <c r="C14" i="3"/>
  <c r="B15" i="3"/>
  <c r="C15" i="3"/>
  <c r="B16" i="3"/>
  <c r="C16" i="3"/>
  <c r="B17" i="3"/>
  <c r="C17" i="3"/>
  <c r="B18" i="3"/>
  <c r="C18" i="3"/>
  <c r="B19" i="3"/>
  <c r="C19" i="3"/>
  <c r="B20" i="3"/>
  <c r="C20" i="3"/>
  <c r="B21" i="3"/>
  <c r="C21" i="3"/>
  <c r="B22" i="3"/>
  <c r="C22" i="3"/>
  <c r="B23" i="3"/>
  <c r="C23" i="3"/>
  <c r="B24" i="3"/>
  <c r="C24" i="3"/>
  <c r="B25" i="3"/>
  <c r="C25" i="3"/>
  <c r="B26" i="3"/>
  <c r="C26" i="3"/>
  <c r="B27" i="3"/>
  <c r="C27" i="3"/>
  <c r="B28" i="3"/>
  <c r="C28" i="3"/>
  <c r="B29" i="3"/>
  <c r="C29" i="3"/>
  <c r="B30" i="3"/>
  <c r="C30" i="3"/>
  <c r="B31" i="3"/>
  <c r="C31" i="3"/>
  <c r="B32" i="3"/>
  <c r="C32" i="3"/>
  <c r="B33" i="3"/>
  <c r="C33" i="3"/>
  <c r="B34" i="3"/>
  <c r="C34" i="3"/>
  <c r="B35" i="3"/>
  <c r="C35" i="3"/>
  <c r="B36" i="3"/>
  <c r="C36" i="3"/>
  <c r="B37" i="3"/>
  <c r="C37" i="3"/>
  <c r="B38" i="3"/>
  <c r="C38" i="3"/>
  <c r="B39" i="3"/>
  <c r="C39" i="3"/>
  <c r="B40" i="3"/>
  <c r="C40" i="3"/>
  <c r="B41" i="3"/>
  <c r="C41" i="3"/>
  <c r="B42" i="3"/>
  <c r="C42" i="3"/>
  <c r="B43" i="3"/>
  <c r="C43" i="3"/>
  <c r="B44" i="3"/>
  <c r="C44" i="3"/>
  <c r="B45" i="3"/>
  <c r="C45" i="3"/>
  <c r="B46" i="3"/>
  <c r="C46" i="3"/>
  <c r="B47" i="3"/>
  <c r="C47" i="3"/>
  <c r="B48" i="3"/>
  <c r="C48" i="3"/>
  <c r="B49" i="3"/>
  <c r="C49" i="3"/>
  <c r="B50" i="3"/>
  <c r="C50" i="3"/>
  <c r="B51" i="3"/>
  <c r="C51" i="3"/>
  <c r="B52" i="3"/>
  <c r="C52" i="3"/>
  <c r="B53" i="3"/>
  <c r="C53" i="3"/>
  <c r="B54" i="3"/>
  <c r="C54" i="3"/>
  <c r="B55" i="3"/>
  <c r="C55" i="3"/>
  <c r="B56" i="3"/>
  <c r="C56" i="3"/>
  <c r="B57" i="3"/>
  <c r="C57" i="3"/>
  <c r="B58" i="3"/>
  <c r="C58" i="3"/>
  <c r="B59" i="3"/>
  <c r="C59" i="3"/>
  <c r="B60" i="3"/>
  <c r="C60" i="3"/>
  <c r="B61" i="3"/>
  <c r="C61" i="3"/>
  <c r="B62" i="3"/>
  <c r="C62" i="3"/>
  <c r="B63" i="3"/>
  <c r="C63" i="3"/>
  <c r="B64" i="3"/>
  <c r="C64" i="3"/>
  <c r="B65" i="3"/>
  <c r="C65" i="3"/>
  <c r="B66" i="3"/>
  <c r="C66" i="3"/>
  <c r="B67" i="3"/>
  <c r="C67" i="3"/>
  <c r="B68" i="3"/>
  <c r="C68" i="3"/>
  <c r="B69" i="3"/>
  <c r="C69" i="3"/>
  <c r="B70" i="3"/>
  <c r="C70" i="3"/>
  <c r="B71" i="3"/>
  <c r="C71" i="3"/>
  <c r="B72" i="3"/>
  <c r="C72" i="3"/>
  <c r="B73" i="3"/>
  <c r="C73" i="3"/>
  <c r="B74" i="3"/>
  <c r="C74" i="3"/>
  <c r="B75" i="3"/>
  <c r="C75" i="3"/>
  <c r="B76" i="3"/>
  <c r="C76" i="3"/>
  <c r="B77" i="3"/>
  <c r="C77" i="3"/>
  <c r="B78" i="3"/>
  <c r="C78" i="3"/>
  <c r="B79" i="3"/>
  <c r="C79" i="3"/>
  <c r="B80" i="3"/>
  <c r="C80" i="3"/>
  <c r="B81" i="3"/>
  <c r="C81" i="3"/>
  <c r="B82" i="3"/>
  <c r="C82" i="3"/>
  <c r="B83" i="3"/>
  <c r="C83" i="3"/>
  <c r="B84" i="3"/>
  <c r="C84" i="3"/>
  <c r="B85" i="3"/>
  <c r="C85" i="3"/>
  <c r="B86" i="3"/>
  <c r="C86" i="3"/>
  <c r="B87" i="3"/>
  <c r="C87" i="3"/>
  <c r="B88" i="3"/>
  <c r="C88" i="3"/>
  <c r="B89" i="3"/>
  <c r="C89" i="3"/>
  <c r="B90" i="3"/>
  <c r="C90" i="3"/>
  <c r="B91" i="3"/>
  <c r="C91" i="3"/>
  <c r="B92" i="3"/>
  <c r="C92" i="3"/>
  <c r="B93" i="3"/>
  <c r="C93" i="3"/>
  <c r="B94" i="3"/>
  <c r="C94" i="3"/>
  <c r="B95" i="3"/>
  <c r="C95" i="3"/>
  <c r="B96" i="3"/>
  <c r="C96" i="3"/>
  <c r="B97" i="3"/>
  <c r="C97" i="3"/>
  <c r="B98" i="3"/>
  <c r="C98" i="3"/>
  <c r="B99" i="3"/>
  <c r="C99" i="3"/>
  <c r="B100" i="3"/>
  <c r="C100" i="3"/>
  <c r="B101" i="3"/>
  <c r="C101" i="3"/>
  <c r="B102" i="3"/>
  <c r="C102" i="3"/>
  <c r="C3" i="3"/>
  <c r="B3" i="3"/>
  <c r="C2" i="3"/>
  <c r="B2" i="3"/>
</calcChain>
</file>

<file path=xl/sharedStrings.xml><?xml version="1.0" encoding="utf-8"?>
<sst xmlns="http://schemas.openxmlformats.org/spreadsheetml/2006/main" count="7" uniqueCount="7">
  <si>
    <t>Shooting Game</t>
    <phoneticPr fontId="0" type="noConversion"/>
  </si>
  <si>
    <t>To play the game enter the correct angle and speed values and then press Ctrl-Shift-S</t>
    <phoneticPr fontId="0" type="noConversion"/>
  </si>
  <si>
    <t>Angle:</t>
    <phoneticPr fontId="0" type="noConversion"/>
  </si>
  <si>
    <t>Speed:</t>
    <phoneticPr fontId="0" type="noConversion"/>
  </si>
  <si>
    <t>Time</t>
    <phoneticPr fontId="4" type="noConversion"/>
  </si>
  <si>
    <t>X</t>
    <phoneticPr fontId="4" type="noConversion"/>
  </si>
  <si>
    <t>Y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</si>
</sst>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新細明體"/>
      <family val="2"/>
      <charset val="136"/>
      <scheme val="minor"/>
    </font>
    <font>
      <sz val="18"/>
      <color theme="1"/>
      <name val="Calibri"/>
      <family val="2"/>
    </font>
    <font>
      <sz val="12"/>
      <color theme="1"/>
      <name val="Calibri"/>
      <family val="2"/>
    </font>
    <font>
      <b/>
      <sz val="12"/>
      <color theme="1"/>
      <name val="Calibri"/>
      <family val="2"/>
    </font>
    <font>
      <sz val="9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1" xfId="0" applyFont="1" applyBorder="1"/>
    <xf numFmtId="0" fontId="2" fillId="0" borderId="1" xfId="0" applyFont="1" applyBorder="1"/>
    <xf numFmtId="0" fontId="3" fillId="2" borderId="2" xfId="0" applyFont="1" applyFill="1" applyBorder="1"/>
    <xf numFmtId="0" fontId="2" fillId="0" borderId="2" xfId="0" applyFont="1" applyFill="1" applyBorder="1" applyAlignment="1">
      <alignment horizontal="left"/>
    </xf>
    <xf numFmtId="0" fontId="0" fillId="0" borderId="1" xfId="0" applyBorder="1"/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254000</xdr:colOff>
      <xdr:row>3</xdr:row>
      <xdr:rowOff>46593</xdr:rowOff>
    </xdr:from>
    <xdr:to>
      <xdr:col>12</xdr:col>
      <xdr:colOff>41088</xdr:colOff>
      <xdr:row>8</xdr:row>
      <xdr:rowOff>87432</xdr:rowOff>
    </xdr:to>
    <xdr:grpSp>
      <xdr:nvGrpSpPr>
        <xdr:cNvPr id="40" name="Target"/>
        <xdr:cNvGrpSpPr/>
      </xdr:nvGrpSpPr>
      <xdr:grpSpPr>
        <a:xfrm>
          <a:off x="6350000" y="741918"/>
          <a:ext cx="1006288" cy="1040964"/>
          <a:chOff x="4034518" y="1208314"/>
          <a:chExt cx="1496786" cy="1518557"/>
        </a:xfrm>
      </xdr:grpSpPr>
      <xdr:sp macro="" textlink="">
        <xdr:nvSpPr>
          <xdr:cNvPr id="41" name="橢圓 40"/>
          <xdr:cNvSpPr/>
        </xdr:nvSpPr>
        <xdr:spPr>
          <a:xfrm>
            <a:off x="4034518" y="1409700"/>
            <a:ext cx="1496786" cy="1317171"/>
          </a:xfrm>
          <a:prstGeom prst="ellipse">
            <a:avLst/>
          </a:prstGeom>
          <a:solidFill>
            <a:srgbClr val="92D050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TW" altLang="en-US" sz="1100"/>
          </a:p>
        </xdr:txBody>
      </xdr:sp>
      <xdr:grpSp>
        <xdr:nvGrpSpPr>
          <xdr:cNvPr id="42" name="群組 41"/>
          <xdr:cNvGrpSpPr/>
        </xdr:nvGrpSpPr>
        <xdr:grpSpPr>
          <a:xfrm>
            <a:off x="4131129" y="1279071"/>
            <a:ext cx="307520" cy="302078"/>
            <a:chOff x="4010024" y="1304924"/>
            <a:chExt cx="371475" cy="371475"/>
          </a:xfrm>
        </xdr:grpSpPr>
        <xdr:sp macro="" textlink="">
          <xdr:nvSpPr>
            <xdr:cNvPr id="57" name="橢圓 56"/>
            <xdr:cNvSpPr/>
          </xdr:nvSpPr>
          <xdr:spPr>
            <a:xfrm>
              <a:off x="4010024" y="1304924"/>
              <a:ext cx="371475" cy="371475"/>
            </a:xfrm>
            <a:prstGeom prst="ellipse">
              <a:avLst/>
            </a:prstGeom>
            <a:solidFill>
              <a:srgbClr val="92D050"/>
            </a:solidFill>
            <a:ln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TW" altLang="en-US" sz="1100"/>
            </a:p>
          </xdr:txBody>
        </xdr:sp>
        <xdr:sp macro="" textlink="">
          <xdr:nvSpPr>
            <xdr:cNvPr id="58" name="橢圓 57"/>
            <xdr:cNvSpPr/>
          </xdr:nvSpPr>
          <xdr:spPr>
            <a:xfrm>
              <a:off x="4114228" y="1456753"/>
              <a:ext cx="200597" cy="200597"/>
            </a:xfrm>
            <a:prstGeom prst="ellipse">
              <a:avLst/>
            </a:prstGeom>
          </xdr:spPr>
          <xdr:style>
            <a:lnRef idx="2">
              <a:schemeClr val="dk1">
                <a:shade val="50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TW" altLang="en-US" sz="1100"/>
            </a:p>
          </xdr:txBody>
        </xdr:sp>
      </xdr:grpSp>
      <xdr:grpSp>
        <xdr:nvGrpSpPr>
          <xdr:cNvPr id="43" name="群組 42"/>
          <xdr:cNvGrpSpPr/>
        </xdr:nvGrpSpPr>
        <xdr:grpSpPr>
          <a:xfrm>
            <a:off x="4871358" y="1208314"/>
            <a:ext cx="285750" cy="283029"/>
            <a:chOff x="5087711" y="1313351"/>
            <a:chExt cx="285750" cy="285750"/>
          </a:xfrm>
        </xdr:grpSpPr>
        <xdr:sp macro="" textlink="">
          <xdr:nvSpPr>
            <xdr:cNvPr id="55" name="橢圓 54"/>
            <xdr:cNvSpPr/>
          </xdr:nvSpPr>
          <xdr:spPr>
            <a:xfrm>
              <a:off x="5087711" y="1313351"/>
              <a:ext cx="285750" cy="285750"/>
            </a:xfrm>
            <a:prstGeom prst="ellipse">
              <a:avLst/>
            </a:prstGeom>
            <a:solidFill>
              <a:srgbClr val="92D050"/>
            </a:solidFill>
            <a:ln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TW" altLang="en-US" sz="1100"/>
            </a:p>
          </xdr:txBody>
        </xdr:sp>
        <xdr:sp macro="" textlink="">
          <xdr:nvSpPr>
            <xdr:cNvPr id="56" name="橢圓 55"/>
            <xdr:cNvSpPr/>
          </xdr:nvSpPr>
          <xdr:spPr>
            <a:xfrm>
              <a:off x="5155882" y="1434203"/>
              <a:ext cx="154305" cy="154305"/>
            </a:xfrm>
            <a:prstGeom prst="ellipse">
              <a:avLst/>
            </a:prstGeom>
          </xdr:spPr>
          <xdr:style>
            <a:lnRef idx="2">
              <a:schemeClr val="dk1">
                <a:shade val="50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TW" altLang="en-US" sz="1100"/>
            </a:p>
          </xdr:txBody>
        </xdr:sp>
      </xdr:grpSp>
      <xdr:sp macro="" textlink="">
        <xdr:nvSpPr>
          <xdr:cNvPr id="44" name="橢圓 43"/>
          <xdr:cNvSpPr/>
        </xdr:nvSpPr>
        <xdr:spPr>
          <a:xfrm>
            <a:off x="4185558" y="1828802"/>
            <a:ext cx="364671" cy="359229"/>
          </a:xfrm>
          <a:prstGeom prst="ellipse">
            <a:avLst/>
          </a:prstGeom>
          <a:solidFill>
            <a:sysClr val="window" lastClr="FFFFFF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TW" altLang="en-US" sz="1100"/>
          </a:p>
        </xdr:txBody>
      </xdr:sp>
      <xdr:sp macro="" textlink="">
        <xdr:nvSpPr>
          <xdr:cNvPr id="45" name="橢圓 44"/>
          <xdr:cNvSpPr/>
        </xdr:nvSpPr>
        <xdr:spPr>
          <a:xfrm>
            <a:off x="4294369" y="1956665"/>
            <a:ext cx="142160" cy="140038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TW" altLang="en-US" sz="1100"/>
          </a:p>
        </xdr:txBody>
      </xdr:sp>
      <xdr:sp macro="" textlink="">
        <xdr:nvSpPr>
          <xdr:cNvPr id="46" name="橢圓 45"/>
          <xdr:cNvSpPr/>
        </xdr:nvSpPr>
        <xdr:spPr>
          <a:xfrm>
            <a:off x="5016951" y="1828802"/>
            <a:ext cx="363600" cy="360879"/>
          </a:xfrm>
          <a:prstGeom prst="ellipse">
            <a:avLst/>
          </a:prstGeom>
          <a:solidFill>
            <a:sysClr val="window" lastClr="FFFFFF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TW" altLang="en-US" sz="1100"/>
          </a:p>
        </xdr:txBody>
      </xdr:sp>
      <xdr:sp macro="" textlink="">
        <xdr:nvSpPr>
          <xdr:cNvPr id="47" name="橢圓 46"/>
          <xdr:cNvSpPr/>
        </xdr:nvSpPr>
        <xdr:spPr>
          <a:xfrm>
            <a:off x="5131477" y="1957250"/>
            <a:ext cx="141742" cy="140682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TW" altLang="en-US" sz="1100"/>
          </a:p>
        </xdr:txBody>
      </xdr:sp>
      <xdr:sp macro="" textlink="">
        <xdr:nvSpPr>
          <xdr:cNvPr id="48" name="套索 30"/>
          <xdr:cNvSpPr/>
        </xdr:nvSpPr>
        <xdr:spPr>
          <a:xfrm rot="14832689" flipV="1">
            <a:off x="4655348" y="2311183"/>
            <a:ext cx="293818" cy="336706"/>
          </a:xfrm>
          <a:custGeom>
            <a:avLst/>
            <a:gdLst>
              <a:gd name="connsiteX0" fmla="*/ 810573 w 962025"/>
              <a:gd name="connsiteY0" fmla="*/ 781998 h 904875"/>
              <a:gd name="connsiteX1" fmla="*/ 251461 w 962025"/>
              <a:gd name="connsiteY1" fmla="*/ 850031 h 904875"/>
              <a:gd name="connsiteX2" fmla="*/ 18404 w 962025"/>
              <a:gd name="connsiteY2" fmla="*/ 328481 h 904875"/>
              <a:gd name="connsiteX3" fmla="*/ 481012 w 962025"/>
              <a:gd name="connsiteY3" fmla="*/ -1 h 904875"/>
              <a:gd name="connsiteX4" fmla="*/ 810573 w 962025"/>
              <a:gd name="connsiteY4" fmla="*/ 781998 h 904875"/>
              <a:gd name="connsiteX0" fmla="*/ 811081 w 811081"/>
              <a:gd name="connsiteY0" fmla="*/ 781999 h 951823"/>
              <a:gd name="connsiteX1" fmla="*/ 247760 w 811081"/>
              <a:gd name="connsiteY1" fmla="*/ 913789 h 951823"/>
              <a:gd name="connsiteX2" fmla="*/ 18912 w 811081"/>
              <a:gd name="connsiteY2" fmla="*/ 328482 h 951823"/>
              <a:gd name="connsiteX3" fmla="*/ 481520 w 811081"/>
              <a:gd name="connsiteY3" fmla="*/ 0 h 951823"/>
              <a:gd name="connsiteX4" fmla="*/ 811081 w 811081"/>
              <a:gd name="connsiteY4" fmla="*/ 781999 h 951823"/>
              <a:gd name="connsiteX0" fmla="*/ 847307 w 847307"/>
              <a:gd name="connsiteY0" fmla="*/ 781999 h 948076"/>
              <a:gd name="connsiteX1" fmla="*/ 283986 w 847307"/>
              <a:gd name="connsiteY1" fmla="*/ 913789 h 948076"/>
              <a:gd name="connsiteX2" fmla="*/ 11750 w 847307"/>
              <a:gd name="connsiteY2" fmla="*/ 274390 h 948076"/>
              <a:gd name="connsiteX3" fmla="*/ 517746 w 847307"/>
              <a:gd name="connsiteY3" fmla="*/ 0 h 948076"/>
              <a:gd name="connsiteX4" fmla="*/ 847307 w 847307"/>
              <a:gd name="connsiteY4" fmla="*/ 781999 h 94807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847307" h="948076">
                <a:moveTo>
                  <a:pt x="847307" y="781999"/>
                </a:moveTo>
                <a:cubicBezTo>
                  <a:pt x="696076" y="915795"/>
                  <a:pt x="423246" y="998391"/>
                  <a:pt x="283986" y="913789"/>
                </a:cubicBezTo>
                <a:cubicBezTo>
                  <a:pt x="144727" y="829188"/>
                  <a:pt x="-49953" y="478121"/>
                  <a:pt x="11750" y="274390"/>
                </a:cubicBezTo>
                <a:cubicBezTo>
                  <a:pt x="70627" y="79989"/>
                  <a:pt x="302845" y="0"/>
                  <a:pt x="517746" y="0"/>
                </a:cubicBezTo>
                <a:lnTo>
                  <a:pt x="847307" y="781999"/>
                </a:lnTo>
                <a:close/>
              </a:path>
            </a:pathLst>
          </a:custGeom>
          <a:solidFill>
            <a:schemeClr val="accent3">
              <a:lumMod val="75000"/>
            </a:schemeClr>
          </a:solidFill>
          <a:ln>
            <a:solidFill>
              <a:schemeClr val="accent3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TW" altLang="en-US" sz="1100"/>
          </a:p>
        </xdr:txBody>
      </xdr:sp>
      <xdr:grpSp>
        <xdr:nvGrpSpPr>
          <xdr:cNvPr id="49" name="群組 48"/>
          <xdr:cNvGrpSpPr/>
        </xdr:nvGrpSpPr>
        <xdr:grpSpPr>
          <a:xfrm>
            <a:off x="4548689" y="2079215"/>
            <a:ext cx="502468" cy="438466"/>
            <a:chOff x="2351135" y="1160729"/>
            <a:chExt cx="502468" cy="438466"/>
          </a:xfrm>
        </xdr:grpSpPr>
        <xdr:sp macro="" textlink="">
          <xdr:nvSpPr>
            <xdr:cNvPr id="52" name="套索 30"/>
            <xdr:cNvSpPr/>
          </xdr:nvSpPr>
          <xdr:spPr>
            <a:xfrm rot="6767311">
              <a:off x="2383136" y="1128728"/>
              <a:ext cx="438466" cy="502468"/>
            </a:xfrm>
            <a:custGeom>
              <a:avLst/>
              <a:gdLst>
                <a:gd name="connsiteX0" fmla="*/ 810573 w 962025"/>
                <a:gd name="connsiteY0" fmla="*/ 781998 h 904875"/>
                <a:gd name="connsiteX1" fmla="*/ 251461 w 962025"/>
                <a:gd name="connsiteY1" fmla="*/ 850031 h 904875"/>
                <a:gd name="connsiteX2" fmla="*/ 18404 w 962025"/>
                <a:gd name="connsiteY2" fmla="*/ 328481 h 904875"/>
                <a:gd name="connsiteX3" fmla="*/ 481012 w 962025"/>
                <a:gd name="connsiteY3" fmla="*/ -1 h 904875"/>
                <a:gd name="connsiteX4" fmla="*/ 810573 w 962025"/>
                <a:gd name="connsiteY4" fmla="*/ 781998 h 904875"/>
                <a:gd name="connsiteX0" fmla="*/ 811081 w 811081"/>
                <a:gd name="connsiteY0" fmla="*/ 781999 h 951823"/>
                <a:gd name="connsiteX1" fmla="*/ 247760 w 811081"/>
                <a:gd name="connsiteY1" fmla="*/ 913789 h 951823"/>
                <a:gd name="connsiteX2" fmla="*/ 18912 w 811081"/>
                <a:gd name="connsiteY2" fmla="*/ 328482 h 951823"/>
                <a:gd name="connsiteX3" fmla="*/ 481520 w 811081"/>
                <a:gd name="connsiteY3" fmla="*/ 0 h 951823"/>
                <a:gd name="connsiteX4" fmla="*/ 811081 w 811081"/>
                <a:gd name="connsiteY4" fmla="*/ 781999 h 951823"/>
                <a:gd name="connsiteX0" fmla="*/ 847307 w 847307"/>
                <a:gd name="connsiteY0" fmla="*/ 781999 h 948076"/>
                <a:gd name="connsiteX1" fmla="*/ 283986 w 847307"/>
                <a:gd name="connsiteY1" fmla="*/ 913789 h 948076"/>
                <a:gd name="connsiteX2" fmla="*/ 11750 w 847307"/>
                <a:gd name="connsiteY2" fmla="*/ 274390 h 948076"/>
                <a:gd name="connsiteX3" fmla="*/ 517746 w 847307"/>
                <a:gd name="connsiteY3" fmla="*/ 0 h 948076"/>
                <a:gd name="connsiteX4" fmla="*/ 847307 w 847307"/>
                <a:gd name="connsiteY4" fmla="*/ 781999 h 948076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847307" h="948076">
                  <a:moveTo>
                    <a:pt x="847307" y="781999"/>
                  </a:moveTo>
                  <a:cubicBezTo>
                    <a:pt x="696076" y="915795"/>
                    <a:pt x="423246" y="998391"/>
                    <a:pt x="283986" y="913789"/>
                  </a:cubicBezTo>
                  <a:cubicBezTo>
                    <a:pt x="144727" y="829188"/>
                    <a:pt x="-49953" y="478121"/>
                    <a:pt x="11750" y="274390"/>
                  </a:cubicBezTo>
                  <a:cubicBezTo>
                    <a:pt x="70627" y="79989"/>
                    <a:pt x="302845" y="0"/>
                    <a:pt x="517746" y="0"/>
                  </a:cubicBezTo>
                  <a:lnTo>
                    <a:pt x="847307" y="781999"/>
                  </a:lnTo>
                  <a:close/>
                </a:path>
              </a:pathLst>
            </a:custGeom>
            <a:solidFill>
              <a:schemeClr val="accent3">
                <a:lumMod val="40000"/>
                <a:lumOff val="60000"/>
              </a:schemeClr>
            </a:solidFill>
            <a:ln>
              <a:solidFill>
                <a:schemeClr val="accent3">
                  <a:lumMod val="40000"/>
                  <a:lumOff val="6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TW" altLang="en-US" sz="1100"/>
            </a:p>
          </xdr:txBody>
        </xdr:sp>
        <xdr:sp macro="" textlink="">
          <xdr:nvSpPr>
            <xdr:cNvPr id="53" name="橢圓 52"/>
            <xdr:cNvSpPr/>
          </xdr:nvSpPr>
          <xdr:spPr>
            <a:xfrm>
              <a:off x="2439442" y="1301344"/>
              <a:ext cx="104775" cy="170949"/>
            </a:xfrm>
            <a:prstGeom prst="ellipse">
              <a:avLst/>
            </a:prstGeom>
          </xdr:spPr>
          <xdr:style>
            <a:lnRef idx="2">
              <a:schemeClr val="dk1">
                <a:shade val="50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TW" altLang="en-US" sz="1100"/>
            </a:p>
          </xdr:txBody>
        </xdr:sp>
        <xdr:sp macro="" textlink="">
          <xdr:nvSpPr>
            <xdr:cNvPr id="54" name="橢圓 53"/>
            <xdr:cNvSpPr/>
          </xdr:nvSpPr>
          <xdr:spPr>
            <a:xfrm>
              <a:off x="2648296" y="1304067"/>
              <a:ext cx="104775" cy="170949"/>
            </a:xfrm>
            <a:prstGeom prst="ellipse">
              <a:avLst/>
            </a:prstGeom>
          </xdr:spPr>
          <xdr:style>
            <a:lnRef idx="2">
              <a:schemeClr val="dk1">
                <a:shade val="50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TW" altLang="en-US" sz="1100"/>
            </a:p>
          </xdr:txBody>
        </xdr:sp>
      </xdr:grpSp>
      <xdr:sp macro="" textlink="">
        <xdr:nvSpPr>
          <xdr:cNvPr id="50" name="拱形 49"/>
          <xdr:cNvSpPr/>
        </xdr:nvSpPr>
        <xdr:spPr>
          <a:xfrm>
            <a:off x="4196918" y="1721305"/>
            <a:ext cx="327458" cy="183696"/>
          </a:xfrm>
          <a:prstGeom prst="blockArc">
            <a:avLst>
              <a:gd name="adj1" fmla="val 11189850"/>
              <a:gd name="adj2" fmla="val 21207551"/>
              <a:gd name="adj3" fmla="val 19597"/>
            </a:avLst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TW" alt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51" name="拱形 50"/>
          <xdr:cNvSpPr/>
        </xdr:nvSpPr>
        <xdr:spPr>
          <a:xfrm>
            <a:off x="5032709" y="1723227"/>
            <a:ext cx="327458" cy="183696"/>
          </a:xfrm>
          <a:prstGeom prst="blockArc">
            <a:avLst>
              <a:gd name="adj1" fmla="val 11189850"/>
              <a:gd name="adj2" fmla="val 21207551"/>
              <a:gd name="adj3" fmla="val 19597"/>
            </a:avLst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TW" altLang="en-US" sz="1100">
              <a:solidFill>
                <a:schemeClr val="tx1"/>
              </a:solidFill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552450</xdr:colOff>
      <xdr:row>2</xdr:row>
      <xdr:rowOff>57150</xdr:rowOff>
    </xdr:from>
    <xdr:to>
      <xdr:col>3</xdr:col>
      <xdr:colOff>63922</xdr:colOff>
      <xdr:row>5</xdr:row>
      <xdr:rowOff>135030</xdr:rowOff>
    </xdr:to>
    <xdr:grpSp>
      <xdr:nvGrpSpPr>
        <xdr:cNvPr id="2" name="Projectile"/>
        <xdr:cNvGrpSpPr/>
      </xdr:nvGrpSpPr>
      <xdr:grpSpPr>
        <a:xfrm>
          <a:off x="552450" y="457200"/>
          <a:ext cx="1340272" cy="677955"/>
          <a:chOff x="1114533" y="884145"/>
          <a:chExt cx="1528579" cy="773207"/>
        </a:xfrm>
      </xdr:grpSpPr>
      <xdr:sp macro="" textlink="">
        <xdr:nvSpPr>
          <xdr:cNvPr id="3" name="直角三角形 2"/>
          <xdr:cNvSpPr/>
        </xdr:nvSpPr>
        <xdr:spPr>
          <a:xfrm rot="7001995">
            <a:off x="1287050" y="1206131"/>
            <a:ext cx="100695" cy="438352"/>
          </a:xfrm>
          <a:prstGeom prst="rtTriangle">
            <a:avLst/>
          </a:prstGeom>
          <a:solidFill>
            <a:schemeClr val="tx1"/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TW" altLang="en-US" sz="1100"/>
          </a:p>
        </xdr:txBody>
      </xdr:sp>
      <xdr:sp macro="" textlink="">
        <xdr:nvSpPr>
          <xdr:cNvPr id="4" name="直角三角形 3"/>
          <xdr:cNvSpPr/>
        </xdr:nvSpPr>
        <xdr:spPr>
          <a:xfrm rot="14066117" flipH="1" flipV="1">
            <a:off x="1351886" y="1297852"/>
            <a:ext cx="110094" cy="456802"/>
          </a:xfrm>
          <a:prstGeom prst="rtTriangle">
            <a:avLst/>
          </a:prstGeom>
          <a:solidFill>
            <a:schemeClr val="tx1"/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TW" altLang="en-US" sz="1100"/>
          </a:p>
        </xdr:txBody>
      </xdr:sp>
      <xdr:sp macro="" textlink="">
        <xdr:nvSpPr>
          <xdr:cNvPr id="5" name="直角三角形 4"/>
          <xdr:cNvSpPr/>
        </xdr:nvSpPr>
        <xdr:spPr>
          <a:xfrm rot="5400000">
            <a:off x="1286652" y="1268848"/>
            <a:ext cx="104885" cy="449123"/>
          </a:xfrm>
          <a:prstGeom prst="rtTriangle">
            <a:avLst/>
          </a:prstGeom>
          <a:solidFill>
            <a:schemeClr val="tx1"/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TW" altLang="en-US" sz="1100"/>
          </a:p>
        </xdr:txBody>
      </xdr:sp>
      <xdr:sp macro="" textlink="">
        <xdr:nvSpPr>
          <xdr:cNvPr id="6" name="橢圓 5"/>
          <xdr:cNvSpPr/>
        </xdr:nvSpPr>
        <xdr:spPr>
          <a:xfrm>
            <a:off x="1217520" y="884145"/>
            <a:ext cx="964265" cy="773207"/>
          </a:xfrm>
          <a:prstGeom prst="ellipse">
            <a:avLst/>
          </a:prstGeom>
          <a:solidFill>
            <a:srgbClr val="FF0000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TW" altLang="en-US" sz="1100"/>
          </a:p>
        </xdr:txBody>
      </xdr:sp>
      <xdr:sp macro="" textlink="">
        <xdr:nvSpPr>
          <xdr:cNvPr id="7" name="等腰三角形 6"/>
          <xdr:cNvSpPr/>
        </xdr:nvSpPr>
        <xdr:spPr>
          <a:xfrm rot="6072811">
            <a:off x="2235578" y="965547"/>
            <a:ext cx="249183" cy="565885"/>
          </a:xfrm>
          <a:prstGeom prst="triangle">
            <a:avLst>
              <a:gd name="adj" fmla="val 63979"/>
            </a:avLst>
          </a:prstGeom>
          <a:solidFill>
            <a:srgbClr val="FFFF00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TW" altLang="en-US" sz="1100"/>
          </a:p>
        </xdr:txBody>
      </xdr:sp>
      <xdr:sp macro="" textlink="">
        <xdr:nvSpPr>
          <xdr:cNvPr id="8" name="橢圓 7"/>
          <xdr:cNvSpPr/>
        </xdr:nvSpPr>
        <xdr:spPr>
          <a:xfrm>
            <a:off x="1768560" y="1001804"/>
            <a:ext cx="233930" cy="234762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TW" altLang="en-US" sz="1100"/>
          </a:p>
        </xdr:txBody>
      </xdr:sp>
      <xdr:sp macro="" textlink="">
        <xdr:nvSpPr>
          <xdr:cNvPr id="9" name="橢圓 8"/>
          <xdr:cNvSpPr/>
        </xdr:nvSpPr>
        <xdr:spPr>
          <a:xfrm>
            <a:off x="1856814" y="1091393"/>
            <a:ext cx="86845" cy="88024"/>
          </a:xfrm>
          <a:prstGeom prst="ellipse">
            <a:avLst/>
          </a:prstGeom>
          <a:solidFill>
            <a:schemeClr val="tx1"/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TW" altLang="en-US" sz="1100"/>
          </a:p>
        </xdr:txBody>
      </xdr:sp>
      <xdr:sp macro="" textlink="">
        <xdr:nvSpPr>
          <xdr:cNvPr id="10" name="等腰三角形 9"/>
          <xdr:cNvSpPr/>
        </xdr:nvSpPr>
        <xdr:spPr>
          <a:xfrm rot="4497485">
            <a:off x="2191514" y="1156034"/>
            <a:ext cx="179899" cy="409289"/>
          </a:xfrm>
          <a:prstGeom prst="triangle">
            <a:avLst>
              <a:gd name="adj" fmla="val 63979"/>
            </a:avLst>
          </a:prstGeom>
          <a:solidFill>
            <a:srgbClr val="FFFF00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TW" altLang="en-US" sz="1100"/>
          </a:p>
        </xdr:txBody>
      </xdr:sp>
      <xdr:sp macro="" textlink="">
        <xdr:nvSpPr>
          <xdr:cNvPr id="11" name="矩形 10"/>
          <xdr:cNvSpPr/>
        </xdr:nvSpPr>
        <xdr:spPr>
          <a:xfrm rot="625274">
            <a:off x="1726624" y="897613"/>
            <a:ext cx="319846" cy="67896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TW" altLang="en-US" sz="1100"/>
          </a:p>
        </xdr:txBody>
      </xdr:sp>
      <xdr:sp macro="" textlink="">
        <xdr:nvSpPr>
          <xdr:cNvPr id="12" name="橢圓 13"/>
          <xdr:cNvSpPr/>
        </xdr:nvSpPr>
        <xdr:spPr>
          <a:xfrm>
            <a:off x="1498964" y="1388028"/>
            <a:ext cx="587572" cy="253270"/>
          </a:xfrm>
          <a:custGeom>
            <a:avLst/>
            <a:gdLst>
              <a:gd name="connsiteX0" fmla="*/ 0 w 515471"/>
              <a:gd name="connsiteY0" fmla="*/ 168317 h 336634"/>
              <a:gd name="connsiteX1" fmla="*/ 257736 w 515471"/>
              <a:gd name="connsiteY1" fmla="*/ 0 h 336634"/>
              <a:gd name="connsiteX2" fmla="*/ 515472 w 515471"/>
              <a:gd name="connsiteY2" fmla="*/ 168317 h 336634"/>
              <a:gd name="connsiteX3" fmla="*/ 257736 w 515471"/>
              <a:gd name="connsiteY3" fmla="*/ 336634 h 336634"/>
              <a:gd name="connsiteX4" fmla="*/ 0 w 515471"/>
              <a:gd name="connsiteY4" fmla="*/ 168317 h 336634"/>
              <a:gd name="connsiteX0" fmla="*/ 104 w 515576"/>
              <a:gd name="connsiteY0" fmla="*/ 168317 h 269398"/>
              <a:gd name="connsiteX1" fmla="*/ 257840 w 515576"/>
              <a:gd name="connsiteY1" fmla="*/ 0 h 269398"/>
              <a:gd name="connsiteX2" fmla="*/ 515576 w 515576"/>
              <a:gd name="connsiteY2" fmla="*/ 168317 h 269398"/>
              <a:gd name="connsiteX3" fmla="*/ 235428 w 515576"/>
              <a:gd name="connsiteY3" fmla="*/ 269398 h 269398"/>
              <a:gd name="connsiteX4" fmla="*/ 104 w 515576"/>
              <a:gd name="connsiteY4" fmla="*/ 168317 h 269398"/>
              <a:gd name="connsiteX0" fmla="*/ 48 w 588358"/>
              <a:gd name="connsiteY0" fmla="*/ 282766 h 304054"/>
              <a:gd name="connsiteX1" fmla="*/ 330622 w 588358"/>
              <a:gd name="connsiteY1" fmla="*/ 2390 h 304054"/>
              <a:gd name="connsiteX2" fmla="*/ 588358 w 588358"/>
              <a:gd name="connsiteY2" fmla="*/ 170707 h 304054"/>
              <a:gd name="connsiteX3" fmla="*/ 308210 w 588358"/>
              <a:gd name="connsiteY3" fmla="*/ 271788 h 304054"/>
              <a:gd name="connsiteX4" fmla="*/ 48 w 588358"/>
              <a:gd name="connsiteY4" fmla="*/ 282766 h 304054"/>
              <a:gd name="connsiteX0" fmla="*/ 48 w 588358"/>
              <a:gd name="connsiteY0" fmla="*/ 282766 h 346003"/>
              <a:gd name="connsiteX1" fmla="*/ 330622 w 588358"/>
              <a:gd name="connsiteY1" fmla="*/ 2390 h 346003"/>
              <a:gd name="connsiteX2" fmla="*/ 588358 w 588358"/>
              <a:gd name="connsiteY2" fmla="*/ 170707 h 346003"/>
              <a:gd name="connsiteX3" fmla="*/ 308210 w 588358"/>
              <a:gd name="connsiteY3" fmla="*/ 339024 h 346003"/>
              <a:gd name="connsiteX4" fmla="*/ 48 w 588358"/>
              <a:gd name="connsiteY4" fmla="*/ 282766 h 346003"/>
              <a:gd name="connsiteX0" fmla="*/ 383 w 588693"/>
              <a:gd name="connsiteY0" fmla="*/ 195181 h 256632"/>
              <a:gd name="connsiteX1" fmla="*/ 252516 w 588693"/>
              <a:gd name="connsiteY1" fmla="*/ 10055 h 256632"/>
              <a:gd name="connsiteX2" fmla="*/ 588693 w 588693"/>
              <a:gd name="connsiteY2" fmla="*/ 83122 h 256632"/>
              <a:gd name="connsiteX3" fmla="*/ 308545 w 588693"/>
              <a:gd name="connsiteY3" fmla="*/ 251439 h 256632"/>
              <a:gd name="connsiteX4" fmla="*/ 383 w 588693"/>
              <a:gd name="connsiteY4" fmla="*/ 195181 h 25663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588693" h="256632">
                <a:moveTo>
                  <a:pt x="383" y="195181"/>
                </a:moveTo>
                <a:cubicBezTo>
                  <a:pt x="-8955" y="154950"/>
                  <a:pt x="154464" y="28732"/>
                  <a:pt x="252516" y="10055"/>
                </a:cubicBezTo>
                <a:cubicBezTo>
                  <a:pt x="350568" y="-8622"/>
                  <a:pt x="588693" y="-9837"/>
                  <a:pt x="588693" y="83122"/>
                </a:cubicBezTo>
                <a:cubicBezTo>
                  <a:pt x="588693" y="176081"/>
                  <a:pt x="406597" y="232763"/>
                  <a:pt x="308545" y="251439"/>
                </a:cubicBezTo>
                <a:cubicBezTo>
                  <a:pt x="210493" y="270116"/>
                  <a:pt x="9721" y="235412"/>
                  <a:pt x="383" y="195181"/>
                </a:cubicBezTo>
                <a:close/>
              </a:path>
            </a:pathLst>
          </a:custGeom>
          <a:solidFill>
            <a:schemeClr val="accent6">
              <a:lumMod val="20000"/>
              <a:lumOff val="80000"/>
            </a:schemeClr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TW" altLang="en-US" sz="1100"/>
          </a:p>
        </xdr:txBody>
      </xdr:sp>
    </xdr:grpSp>
    <xdr:clientData/>
  </xdr:twoCellAnchor>
  <xdr:twoCellAnchor>
    <xdr:from>
      <xdr:col>4</xdr:col>
      <xdr:colOff>276225</xdr:colOff>
      <xdr:row>1</xdr:row>
      <xdr:rowOff>19050</xdr:rowOff>
    </xdr:from>
    <xdr:to>
      <xdr:col>6</xdr:col>
      <xdr:colOff>63313</xdr:colOff>
      <xdr:row>6</xdr:row>
      <xdr:rowOff>59889</xdr:rowOff>
    </xdr:to>
    <xdr:grpSp>
      <xdr:nvGrpSpPr>
        <xdr:cNvPr id="13" name="Target"/>
        <xdr:cNvGrpSpPr/>
      </xdr:nvGrpSpPr>
      <xdr:grpSpPr>
        <a:xfrm>
          <a:off x="2714625" y="219075"/>
          <a:ext cx="1006288" cy="1040964"/>
          <a:chOff x="4034518" y="1208314"/>
          <a:chExt cx="1496786" cy="1518557"/>
        </a:xfrm>
      </xdr:grpSpPr>
      <xdr:sp macro="" textlink="">
        <xdr:nvSpPr>
          <xdr:cNvPr id="14" name="橢圓 13"/>
          <xdr:cNvSpPr/>
        </xdr:nvSpPr>
        <xdr:spPr>
          <a:xfrm>
            <a:off x="4034518" y="1409700"/>
            <a:ext cx="1496786" cy="1317171"/>
          </a:xfrm>
          <a:prstGeom prst="ellipse">
            <a:avLst/>
          </a:prstGeom>
          <a:solidFill>
            <a:srgbClr val="92D050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TW" altLang="en-US" sz="1100"/>
          </a:p>
        </xdr:txBody>
      </xdr:sp>
      <xdr:grpSp>
        <xdr:nvGrpSpPr>
          <xdr:cNvPr id="15" name="群組 14"/>
          <xdr:cNvGrpSpPr/>
        </xdr:nvGrpSpPr>
        <xdr:grpSpPr>
          <a:xfrm>
            <a:off x="4131129" y="1279071"/>
            <a:ext cx="307520" cy="302078"/>
            <a:chOff x="4010024" y="1304924"/>
            <a:chExt cx="371475" cy="371475"/>
          </a:xfrm>
        </xdr:grpSpPr>
        <xdr:sp macro="" textlink="">
          <xdr:nvSpPr>
            <xdr:cNvPr id="30" name="橢圓 29"/>
            <xdr:cNvSpPr/>
          </xdr:nvSpPr>
          <xdr:spPr>
            <a:xfrm>
              <a:off x="4010024" y="1304924"/>
              <a:ext cx="371475" cy="371475"/>
            </a:xfrm>
            <a:prstGeom prst="ellipse">
              <a:avLst/>
            </a:prstGeom>
            <a:solidFill>
              <a:srgbClr val="92D050"/>
            </a:solidFill>
            <a:ln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TW" altLang="en-US" sz="1100"/>
            </a:p>
          </xdr:txBody>
        </xdr:sp>
        <xdr:sp macro="" textlink="">
          <xdr:nvSpPr>
            <xdr:cNvPr id="31" name="橢圓 30"/>
            <xdr:cNvSpPr/>
          </xdr:nvSpPr>
          <xdr:spPr>
            <a:xfrm>
              <a:off x="4114228" y="1456753"/>
              <a:ext cx="200597" cy="200597"/>
            </a:xfrm>
            <a:prstGeom prst="ellipse">
              <a:avLst/>
            </a:prstGeom>
          </xdr:spPr>
          <xdr:style>
            <a:lnRef idx="2">
              <a:schemeClr val="dk1">
                <a:shade val="50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TW" altLang="en-US" sz="1100"/>
            </a:p>
          </xdr:txBody>
        </xdr:sp>
      </xdr:grpSp>
      <xdr:grpSp>
        <xdr:nvGrpSpPr>
          <xdr:cNvPr id="16" name="群組 15"/>
          <xdr:cNvGrpSpPr/>
        </xdr:nvGrpSpPr>
        <xdr:grpSpPr>
          <a:xfrm>
            <a:off x="4871358" y="1208314"/>
            <a:ext cx="285750" cy="283029"/>
            <a:chOff x="5087711" y="1313351"/>
            <a:chExt cx="285750" cy="285750"/>
          </a:xfrm>
        </xdr:grpSpPr>
        <xdr:sp macro="" textlink="">
          <xdr:nvSpPr>
            <xdr:cNvPr id="28" name="橢圓 27"/>
            <xdr:cNvSpPr/>
          </xdr:nvSpPr>
          <xdr:spPr>
            <a:xfrm>
              <a:off x="5087711" y="1313351"/>
              <a:ext cx="285750" cy="285750"/>
            </a:xfrm>
            <a:prstGeom prst="ellipse">
              <a:avLst/>
            </a:prstGeom>
            <a:solidFill>
              <a:srgbClr val="92D050"/>
            </a:solidFill>
            <a:ln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TW" altLang="en-US" sz="1100"/>
            </a:p>
          </xdr:txBody>
        </xdr:sp>
        <xdr:sp macro="" textlink="">
          <xdr:nvSpPr>
            <xdr:cNvPr id="29" name="橢圓 28"/>
            <xdr:cNvSpPr/>
          </xdr:nvSpPr>
          <xdr:spPr>
            <a:xfrm>
              <a:off x="5155882" y="1434203"/>
              <a:ext cx="154305" cy="154305"/>
            </a:xfrm>
            <a:prstGeom prst="ellipse">
              <a:avLst/>
            </a:prstGeom>
          </xdr:spPr>
          <xdr:style>
            <a:lnRef idx="2">
              <a:schemeClr val="dk1">
                <a:shade val="50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TW" altLang="en-US" sz="1100"/>
            </a:p>
          </xdr:txBody>
        </xdr:sp>
      </xdr:grpSp>
      <xdr:sp macro="" textlink="">
        <xdr:nvSpPr>
          <xdr:cNvPr id="17" name="橢圓 16"/>
          <xdr:cNvSpPr/>
        </xdr:nvSpPr>
        <xdr:spPr>
          <a:xfrm>
            <a:off x="4185558" y="1828802"/>
            <a:ext cx="364671" cy="359229"/>
          </a:xfrm>
          <a:prstGeom prst="ellipse">
            <a:avLst/>
          </a:prstGeom>
          <a:solidFill>
            <a:sysClr val="window" lastClr="FFFFFF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TW" altLang="en-US" sz="1100"/>
          </a:p>
        </xdr:txBody>
      </xdr:sp>
      <xdr:sp macro="" textlink="">
        <xdr:nvSpPr>
          <xdr:cNvPr id="18" name="橢圓 17"/>
          <xdr:cNvSpPr/>
        </xdr:nvSpPr>
        <xdr:spPr>
          <a:xfrm>
            <a:off x="4294369" y="1956665"/>
            <a:ext cx="142160" cy="140038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TW" altLang="en-US" sz="1100"/>
          </a:p>
        </xdr:txBody>
      </xdr:sp>
      <xdr:sp macro="" textlink="">
        <xdr:nvSpPr>
          <xdr:cNvPr id="19" name="橢圓 18"/>
          <xdr:cNvSpPr/>
        </xdr:nvSpPr>
        <xdr:spPr>
          <a:xfrm>
            <a:off x="5016951" y="1828802"/>
            <a:ext cx="363600" cy="360879"/>
          </a:xfrm>
          <a:prstGeom prst="ellipse">
            <a:avLst/>
          </a:prstGeom>
          <a:solidFill>
            <a:sysClr val="window" lastClr="FFFFFF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TW" altLang="en-US" sz="1100"/>
          </a:p>
        </xdr:txBody>
      </xdr:sp>
      <xdr:sp macro="" textlink="">
        <xdr:nvSpPr>
          <xdr:cNvPr id="20" name="橢圓 19"/>
          <xdr:cNvSpPr/>
        </xdr:nvSpPr>
        <xdr:spPr>
          <a:xfrm>
            <a:off x="5131477" y="1957250"/>
            <a:ext cx="141742" cy="140682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TW" altLang="en-US" sz="1100"/>
          </a:p>
        </xdr:txBody>
      </xdr:sp>
      <xdr:sp macro="" textlink="">
        <xdr:nvSpPr>
          <xdr:cNvPr id="21" name="套索 30"/>
          <xdr:cNvSpPr/>
        </xdr:nvSpPr>
        <xdr:spPr>
          <a:xfrm rot="14832689" flipV="1">
            <a:off x="4655348" y="2311183"/>
            <a:ext cx="293818" cy="336706"/>
          </a:xfrm>
          <a:custGeom>
            <a:avLst/>
            <a:gdLst>
              <a:gd name="connsiteX0" fmla="*/ 810573 w 962025"/>
              <a:gd name="connsiteY0" fmla="*/ 781998 h 904875"/>
              <a:gd name="connsiteX1" fmla="*/ 251461 w 962025"/>
              <a:gd name="connsiteY1" fmla="*/ 850031 h 904875"/>
              <a:gd name="connsiteX2" fmla="*/ 18404 w 962025"/>
              <a:gd name="connsiteY2" fmla="*/ 328481 h 904875"/>
              <a:gd name="connsiteX3" fmla="*/ 481012 w 962025"/>
              <a:gd name="connsiteY3" fmla="*/ -1 h 904875"/>
              <a:gd name="connsiteX4" fmla="*/ 810573 w 962025"/>
              <a:gd name="connsiteY4" fmla="*/ 781998 h 904875"/>
              <a:gd name="connsiteX0" fmla="*/ 811081 w 811081"/>
              <a:gd name="connsiteY0" fmla="*/ 781999 h 951823"/>
              <a:gd name="connsiteX1" fmla="*/ 247760 w 811081"/>
              <a:gd name="connsiteY1" fmla="*/ 913789 h 951823"/>
              <a:gd name="connsiteX2" fmla="*/ 18912 w 811081"/>
              <a:gd name="connsiteY2" fmla="*/ 328482 h 951823"/>
              <a:gd name="connsiteX3" fmla="*/ 481520 w 811081"/>
              <a:gd name="connsiteY3" fmla="*/ 0 h 951823"/>
              <a:gd name="connsiteX4" fmla="*/ 811081 w 811081"/>
              <a:gd name="connsiteY4" fmla="*/ 781999 h 951823"/>
              <a:gd name="connsiteX0" fmla="*/ 847307 w 847307"/>
              <a:gd name="connsiteY0" fmla="*/ 781999 h 948076"/>
              <a:gd name="connsiteX1" fmla="*/ 283986 w 847307"/>
              <a:gd name="connsiteY1" fmla="*/ 913789 h 948076"/>
              <a:gd name="connsiteX2" fmla="*/ 11750 w 847307"/>
              <a:gd name="connsiteY2" fmla="*/ 274390 h 948076"/>
              <a:gd name="connsiteX3" fmla="*/ 517746 w 847307"/>
              <a:gd name="connsiteY3" fmla="*/ 0 h 948076"/>
              <a:gd name="connsiteX4" fmla="*/ 847307 w 847307"/>
              <a:gd name="connsiteY4" fmla="*/ 781999 h 94807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847307" h="948076">
                <a:moveTo>
                  <a:pt x="847307" y="781999"/>
                </a:moveTo>
                <a:cubicBezTo>
                  <a:pt x="696076" y="915795"/>
                  <a:pt x="423246" y="998391"/>
                  <a:pt x="283986" y="913789"/>
                </a:cubicBezTo>
                <a:cubicBezTo>
                  <a:pt x="144727" y="829188"/>
                  <a:pt x="-49953" y="478121"/>
                  <a:pt x="11750" y="274390"/>
                </a:cubicBezTo>
                <a:cubicBezTo>
                  <a:pt x="70627" y="79989"/>
                  <a:pt x="302845" y="0"/>
                  <a:pt x="517746" y="0"/>
                </a:cubicBezTo>
                <a:lnTo>
                  <a:pt x="847307" y="781999"/>
                </a:lnTo>
                <a:close/>
              </a:path>
            </a:pathLst>
          </a:custGeom>
          <a:solidFill>
            <a:schemeClr val="accent3">
              <a:lumMod val="75000"/>
            </a:schemeClr>
          </a:solidFill>
          <a:ln>
            <a:solidFill>
              <a:schemeClr val="accent3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TW" altLang="en-US" sz="1100"/>
          </a:p>
        </xdr:txBody>
      </xdr:sp>
      <xdr:grpSp>
        <xdr:nvGrpSpPr>
          <xdr:cNvPr id="22" name="群組 21"/>
          <xdr:cNvGrpSpPr/>
        </xdr:nvGrpSpPr>
        <xdr:grpSpPr>
          <a:xfrm>
            <a:off x="4548689" y="2079215"/>
            <a:ext cx="502468" cy="438466"/>
            <a:chOff x="2351135" y="1160729"/>
            <a:chExt cx="502468" cy="438466"/>
          </a:xfrm>
        </xdr:grpSpPr>
        <xdr:sp macro="" textlink="">
          <xdr:nvSpPr>
            <xdr:cNvPr id="25" name="套索 30"/>
            <xdr:cNvSpPr/>
          </xdr:nvSpPr>
          <xdr:spPr>
            <a:xfrm rot="6767311">
              <a:off x="2383136" y="1128728"/>
              <a:ext cx="438466" cy="502468"/>
            </a:xfrm>
            <a:custGeom>
              <a:avLst/>
              <a:gdLst>
                <a:gd name="connsiteX0" fmla="*/ 810573 w 962025"/>
                <a:gd name="connsiteY0" fmla="*/ 781998 h 904875"/>
                <a:gd name="connsiteX1" fmla="*/ 251461 w 962025"/>
                <a:gd name="connsiteY1" fmla="*/ 850031 h 904875"/>
                <a:gd name="connsiteX2" fmla="*/ 18404 w 962025"/>
                <a:gd name="connsiteY2" fmla="*/ 328481 h 904875"/>
                <a:gd name="connsiteX3" fmla="*/ 481012 w 962025"/>
                <a:gd name="connsiteY3" fmla="*/ -1 h 904875"/>
                <a:gd name="connsiteX4" fmla="*/ 810573 w 962025"/>
                <a:gd name="connsiteY4" fmla="*/ 781998 h 904875"/>
                <a:gd name="connsiteX0" fmla="*/ 811081 w 811081"/>
                <a:gd name="connsiteY0" fmla="*/ 781999 h 951823"/>
                <a:gd name="connsiteX1" fmla="*/ 247760 w 811081"/>
                <a:gd name="connsiteY1" fmla="*/ 913789 h 951823"/>
                <a:gd name="connsiteX2" fmla="*/ 18912 w 811081"/>
                <a:gd name="connsiteY2" fmla="*/ 328482 h 951823"/>
                <a:gd name="connsiteX3" fmla="*/ 481520 w 811081"/>
                <a:gd name="connsiteY3" fmla="*/ 0 h 951823"/>
                <a:gd name="connsiteX4" fmla="*/ 811081 w 811081"/>
                <a:gd name="connsiteY4" fmla="*/ 781999 h 951823"/>
                <a:gd name="connsiteX0" fmla="*/ 847307 w 847307"/>
                <a:gd name="connsiteY0" fmla="*/ 781999 h 948076"/>
                <a:gd name="connsiteX1" fmla="*/ 283986 w 847307"/>
                <a:gd name="connsiteY1" fmla="*/ 913789 h 948076"/>
                <a:gd name="connsiteX2" fmla="*/ 11750 w 847307"/>
                <a:gd name="connsiteY2" fmla="*/ 274390 h 948076"/>
                <a:gd name="connsiteX3" fmla="*/ 517746 w 847307"/>
                <a:gd name="connsiteY3" fmla="*/ 0 h 948076"/>
                <a:gd name="connsiteX4" fmla="*/ 847307 w 847307"/>
                <a:gd name="connsiteY4" fmla="*/ 781999 h 948076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847307" h="948076">
                  <a:moveTo>
                    <a:pt x="847307" y="781999"/>
                  </a:moveTo>
                  <a:cubicBezTo>
                    <a:pt x="696076" y="915795"/>
                    <a:pt x="423246" y="998391"/>
                    <a:pt x="283986" y="913789"/>
                  </a:cubicBezTo>
                  <a:cubicBezTo>
                    <a:pt x="144727" y="829188"/>
                    <a:pt x="-49953" y="478121"/>
                    <a:pt x="11750" y="274390"/>
                  </a:cubicBezTo>
                  <a:cubicBezTo>
                    <a:pt x="70627" y="79989"/>
                    <a:pt x="302845" y="0"/>
                    <a:pt x="517746" y="0"/>
                  </a:cubicBezTo>
                  <a:lnTo>
                    <a:pt x="847307" y="781999"/>
                  </a:lnTo>
                  <a:close/>
                </a:path>
              </a:pathLst>
            </a:custGeom>
            <a:solidFill>
              <a:schemeClr val="accent3">
                <a:lumMod val="40000"/>
                <a:lumOff val="60000"/>
              </a:schemeClr>
            </a:solidFill>
            <a:ln>
              <a:solidFill>
                <a:schemeClr val="accent3">
                  <a:lumMod val="40000"/>
                  <a:lumOff val="6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TW" altLang="en-US" sz="1100"/>
            </a:p>
          </xdr:txBody>
        </xdr:sp>
        <xdr:sp macro="" textlink="">
          <xdr:nvSpPr>
            <xdr:cNvPr id="26" name="橢圓 25"/>
            <xdr:cNvSpPr/>
          </xdr:nvSpPr>
          <xdr:spPr>
            <a:xfrm>
              <a:off x="2439442" y="1301344"/>
              <a:ext cx="104775" cy="170949"/>
            </a:xfrm>
            <a:prstGeom prst="ellipse">
              <a:avLst/>
            </a:prstGeom>
          </xdr:spPr>
          <xdr:style>
            <a:lnRef idx="2">
              <a:schemeClr val="dk1">
                <a:shade val="50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TW" altLang="en-US" sz="1100"/>
            </a:p>
          </xdr:txBody>
        </xdr:sp>
        <xdr:sp macro="" textlink="">
          <xdr:nvSpPr>
            <xdr:cNvPr id="27" name="橢圓 26"/>
            <xdr:cNvSpPr/>
          </xdr:nvSpPr>
          <xdr:spPr>
            <a:xfrm>
              <a:off x="2648296" y="1304067"/>
              <a:ext cx="104775" cy="170949"/>
            </a:xfrm>
            <a:prstGeom prst="ellipse">
              <a:avLst/>
            </a:prstGeom>
          </xdr:spPr>
          <xdr:style>
            <a:lnRef idx="2">
              <a:schemeClr val="dk1">
                <a:shade val="50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TW" altLang="en-US" sz="1100"/>
            </a:p>
          </xdr:txBody>
        </xdr:sp>
      </xdr:grpSp>
      <xdr:sp macro="" textlink="">
        <xdr:nvSpPr>
          <xdr:cNvPr id="23" name="拱形 22"/>
          <xdr:cNvSpPr/>
        </xdr:nvSpPr>
        <xdr:spPr>
          <a:xfrm>
            <a:off x="4196918" y="1721305"/>
            <a:ext cx="327458" cy="183696"/>
          </a:xfrm>
          <a:prstGeom prst="blockArc">
            <a:avLst>
              <a:gd name="adj1" fmla="val 11189850"/>
              <a:gd name="adj2" fmla="val 21207551"/>
              <a:gd name="adj3" fmla="val 19597"/>
            </a:avLst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TW" alt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24" name="拱形 23"/>
          <xdr:cNvSpPr/>
        </xdr:nvSpPr>
        <xdr:spPr>
          <a:xfrm>
            <a:off x="5032709" y="1723227"/>
            <a:ext cx="327458" cy="183696"/>
          </a:xfrm>
          <a:prstGeom prst="blockArc">
            <a:avLst>
              <a:gd name="adj1" fmla="val 11189850"/>
              <a:gd name="adj2" fmla="val 21207551"/>
              <a:gd name="adj3" fmla="val 19597"/>
            </a:avLst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TW" altLang="en-US" sz="1100">
              <a:solidFill>
                <a:schemeClr val="tx1"/>
              </a:solidFill>
            </a:endParaRP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7"/>
  <sheetViews>
    <sheetView tabSelected="1" workbookViewId="0"/>
  </sheetViews>
  <sheetFormatPr defaultRowHeight="15.75" x14ac:dyDescent="0.25"/>
  <cols>
    <col min="1" max="16384" width="9.140625" style="5"/>
  </cols>
  <sheetData>
    <row r="1" spans="1:9" ht="23.25" x14ac:dyDescent="0.35">
      <c r="A1" s="1" t="s">
        <v>0</v>
      </c>
      <c r="B1" s="2"/>
      <c r="C1" s="2"/>
      <c r="D1" s="2"/>
      <c r="E1" s="2"/>
      <c r="F1" s="2"/>
      <c r="G1" s="2"/>
      <c r="H1" s="2"/>
      <c r="I1" s="2"/>
    </row>
    <row r="2" spans="1:9" x14ac:dyDescent="0.25">
      <c r="A2" s="2"/>
      <c r="B2" s="2"/>
      <c r="C2" s="2"/>
      <c r="D2" s="2"/>
      <c r="E2" s="2"/>
      <c r="F2" s="2"/>
      <c r="G2" s="2"/>
      <c r="H2" s="2"/>
      <c r="I2" s="2"/>
    </row>
    <row r="3" spans="1:9" x14ac:dyDescent="0.25">
      <c r="A3" s="2" t="s">
        <v>1</v>
      </c>
      <c r="B3" s="2"/>
      <c r="C3" s="2"/>
      <c r="D3" s="2"/>
      <c r="E3" s="2"/>
      <c r="F3" s="2"/>
      <c r="G3" s="2"/>
      <c r="H3" s="2"/>
      <c r="I3" s="2"/>
    </row>
    <row r="4" spans="1:9" x14ac:dyDescent="0.25">
      <c r="A4" s="2"/>
      <c r="B4" s="2"/>
      <c r="C4" s="2"/>
      <c r="D4" s="2"/>
      <c r="E4" s="2"/>
      <c r="F4" s="2"/>
      <c r="G4" s="2"/>
      <c r="H4" s="2"/>
      <c r="I4" s="2"/>
    </row>
    <row r="5" spans="1:9" x14ac:dyDescent="0.25">
      <c r="A5" s="3" t="s">
        <v>2</v>
      </c>
      <c r="B5" s="4">
        <v>45</v>
      </c>
      <c r="C5" s="2"/>
      <c r="D5" s="2"/>
      <c r="E5" s="2"/>
      <c r="F5" s="2"/>
      <c r="G5" s="2"/>
      <c r="H5" s="2"/>
      <c r="I5" s="2"/>
    </row>
    <row r="6" spans="1:9" x14ac:dyDescent="0.25">
      <c r="A6" s="3" t="s">
        <v>3</v>
      </c>
      <c r="B6" s="4">
        <v>30</v>
      </c>
      <c r="C6" s="2"/>
      <c r="D6" s="2"/>
      <c r="E6" s="2"/>
      <c r="F6" s="2"/>
      <c r="G6" s="2"/>
      <c r="H6" s="2"/>
      <c r="I6" s="2"/>
    </row>
    <row r="7" spans="1:9" x14ac:dyDescent="0.25">
      <c r="A7" s="2"/>
      <c r="B7" s="2"/>
      <c r="C7" s="2"/>
      <c r="D7" s="2"/>
      <c r="E7" s="2"/>
      <c r="F7" s="2"/>
      <c r="G7" s="2"/>
      <c r="H7" s="2"/>
      <c r="I7" s="2"/>
    </row>
  </sheetData>
  <phoneticPr fontId="4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.75" x14ac:dyDescent="0.25"/>
  <sheetData/>
  <phoneticPr fontId="4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02"/>
  <sheetViews>
    <sheetView workbookViewId="0">
      <selection activeCell="D1" sqref="D1"/>
    </sheetView>
  </sheetViews>
  <sheetFormatPr defaultRowHeight="15.75" x14ac:dyDescent="0.25"/>
  <sheetData>
    <row r="1" spans="1:3" x14ac:dyDescent="0.25">
      <c r="A1" t="s">
        <v>4</v>
      </c>
      <c r="B1" t="s">
        <v>5</v>
      </c>
      <c r="C1" t="s">
        <v>6</v>
      </c>
    </row>
    <row r="2" spans="1:3" x14ac:dyDescent="0.25">
      <c r="A2">
        <v>0</v>
      </c>
      <c r="B2">
        <f t="shared" ref="B2:B33" si="0">Speed * COS(RADIANS(Angle)) * A2</f>
        <v>0</v>
      </c>
      <c r="C2">
        <f t="shared" ref="C2:C33" si="1">Speed * SIN(RADIANS(Angle)) * A2 - 0.5 * A2 * A2</f>
        <v>0</v>
      </c>
    </row>
    <row r="3" spans="1:3" x14ac:dyDescent="0.25">
      <c r="A3">
        <v>1</v>
      </c>
      <c r="B3">
        <f t="shared" si="0"/>
        <v>21.213203435596427</v>
      </c>
      <c r="C3">
        <f t="shared" si="1"/>
        <v>20.713203435596423</v>
      </c>
    </row>
    <row r="4" spans="1:3" x14ac:dyDescent="0.25">
      <c r="A4">
        <v>2</v>
      </c>
      <c r="B4">
        <f t="shared" si="0"/>
        <v>42.426406871192853</v>
      </c>
      <c r="C4">
        <f t="shared" si="1"/>
        <v>40.426406871192846</v>
      </c>
    </row>
    <row r="5" spans="1:3" x14ac:dyDescent="0.25">
      <c r="A5">
        <v>3</v>
      </c>
      <c r="B5">
        <f t="shared" si="0"/>
        <v>63.63961030678928</v>
      </c>
      <c r="C5">
        <f t="shared" si="1"/>
        <v>59.139610306789265</v>
      </c>
    </row>
    <row r="6" spans="1:3" x14ac:dyDescent="0.25">
      <c r="A6">
        <v>4</v>
      </c>
      <c r="B6">
        <f t="shared" si="0"/>
        <v>84.852813742385706</v>
      </c>
      <c r="C6">
        <f t="shared" si="1"/>
        <v>76.852813742385692</v>
      </c>
    </row>
    <row r="7" spans="1:3" x14ac:dyDescent="0.25">
      <c r="A7">
        <v>5</v>
      </c>
      <c r="B7">
        <f t="shared" si="0"/>
        <v>106.06601717798213</v>
      </c>
      <c r="C7">
        <f t="shared" si="1"/>
        <v>93.566017177982118</v>
      </c>
    </row>
    <row r="8" spans="1:3" x14ac:dyDescent="0.25">
      <c r="A8">
        <v>6</v>
      </c>
      <c r="B8">
        <f t="shared" si="0"/>
        <v>127.27922061357856</v>
      </c>
      <c r="C8">
        <f t="shared" si="1"/>
        <v>109.27922061357853</v>
      </c>
    </row>
    <row r="9" spans="1:3" x14ac:dyDescent="0.25">
      <c r="A9">
        <v>7</v>
      </c>
      <c r="B9">
        <f t="shared" si="0"/>
        <v>148.49242404917499</v>
      </c>
      <c r="C9">
        <f t="shared" si="1"/>
        <v>123.99242404917496</v>
      </c>
    </row>
    <row r="10" spans="1:3" x14ac:dyDescent="0.25">
      <c r="A10">
        <v>8</v>
      </c>
      <c r="B10">
        <f t="shared" si="0"/>
        <v>169.70562748477141</v>
      </c>
      <c r="C10">
        <f t="shared" si="1"/>
        <v>137.70562748477138</v>
      </c>
    </row>
    <row r="11" spans="1:3" x14ac:dyDescent="0.25">
      <c r="A11">
        <v>9</v>
      </c>
      <c r="B11">
        <f t="shared" si="0"/>
        <v>190.91883092036784</v>
      </c>
      <c r="C11">
        <f t="shared" si="1"/>
        <v>150.41883092036781</v>
      </c>
    </row>
    <row r="12" spans="1:3" x14ac:dyDescent="0.25">
      <c r="A12">
        <v>10</v>
      </c>
      <c r="B12">
        <f t="shared" si="0"/>
        <v>212.13203435596427</v>
      </c>
      <c r="C12">
        <f t="shared" si="1"/>
        <v>162.13203435596424</v>
      </c>
    </row>
    <row r="13" spans="1:3" x14ac:dyDescent="0.25">
      <c r="A13">
        <v>11</v>
      </c>
      <c r="B13">
        <f t="shared" si="0"/>
        <v>233.34523779156069</v>
      </c>
      <c r="C13">
        <f t="shared" si="1"/>
        <v>172.84523779156066</v>
      </c>
    </row>
    <row r="14" spans="1:3" x14ac:dyDescent="0.25">
      <c r="A14">
        <v>12</v>
      </c>
      <c r="B14">
        <f t="shared" si="0"/>
        <v>254.55844122715712</v>
      </c>
      <c r="C14">
        <f t="shared" si="1"/>
        <v>182.55844122715706</v>
      </c>
    </row>
    <row r="15" spans="1:3" x14ac:dyDescent="0.25">
      <c r="A15">
        <v>13</v>
      </c>
      <c r="B15">
        <f t="shared" si="0"/>
        <v>275.77164466275354</v>
      </c>
      <c r="C15">
        <f t="shared" si="1"/>
        <v>191.27164466275349</v>
      </c>
    </row>
    <row r="16" spans="1:3" x14ac:dyDescent="0.25">
      <c r="A16">
        <v>14</v>
      </c>
      <c r="B16">
        <f t="shared" si="0"/>
        <v>296.98484809834997</v>
      </c>
      <c r="C16">
        <f t="shared" si="1"/>
        <v>198.98484809834991</v>
      </c>
    </row>
    <row r="17" spans="1:3" x14ac:dyDescent="0.25">
      <c r="A17">
        <v>15</v>
      </c>
      <c r="B17">
        <f t="shared" si="0"/>
        <v>318.1980515339464</v>
      </c>
      <c r="C17">
        <f t="shared" si="1"/>
        <v>205.69805153394634</v>
      </c>
    </row>
    <row r="18" spans="1:3" x14ac:dyDescent="0.25">
      <c r="A18">
        <v>16</v>
      </c>
      <c r="B18">
        <f t="shared" si="0"/>
        <v>339.41125496954282</v>
      </c>
      <c r="C18">
        <f t="shared" si="1"/>
        <v>211.41125496954277</v>
      </c>
    </row>
    <row r="19" spans="1:3" x14ac:dyDescent="0.25">
      <c r="A19">
        <v>17</v>
      </c>
      <c r="B19">
        <f t="shared" si="0"/>
        <v>360.62445840513925</v>
      </c>
      <c r="C19">
        <f t="shared" si="1"/>
        <v>216.12445840513919</v>
      </c>
    </row>
    <row r="20" spans="1:3" x14ac:dyDescent="0.25">
      <c r="A20">
        <v>18</v>
      </c>
      <c r="B20">
        <f t="shared" si="0"/>
        <v>381.83766184073568</v>
      </c>
      <c r="C20">
        <f t="shared" si="1"/>
        <v>219.83766184073562</v>
      </c>
    </row>
    <row r="21" spans="1:3" x14ac:dyDescent="0.25">
      <c r="A21">
        <v>19</v>
      </c>
      <c r="B21">
        <f t="shared" si="0"/>
        <v>403.0508652763321</v>
      </c>
      <c r="C21">
        <f t="shared" si="1"/>
        <v>222.55086527633205</v>
      </c>
    </row>
    <row r="22" spans="1:3" x14ac:dyDescent="0.25">
      <c r="A22">
        <v>20</v>
      </c>
      <c r="B22">
        <f t="shared" si="0"/>
        <v>424.26406871192853</v>
      </c>
      <c r="C22">
        <f t="shared" si="1"/>
        <v>224.26406871192847</v>
      </c>
    </row>
    <row r="23" spans="1:3" x14ac:dyDescent="0.25">
      <c r="A23">
        <v>21</v>
      </c>
      <c r="B23">
        <f t="shared" si="0"/>
        <v>445.47727214752496</v>
      </c>
      <c r="C23">
        <f t="shared" si="1"/>
        <v>224.9772721475249</v>
      </c>
    </row>
    <row r="24" spans="1:3" x14ac:dyDescent="0.25">
      <c r="A24">
        <v>22</v>
      </c>
      <c r="B24">
        <f t="shared" si="0"/>
        <v>466.69047558312138</v>
      </c>
      <c r="C24">
        <f t="shared" si="1"/>
        <v>224.69047558312133</v>
      </c>
    </row>
    <row r="25" spans="1:3" x14ac:dyDescent="0.25">
      <c r="A25">
        <v>23</v>
      </c>
      <c r="B25">
        <f t="shared" si="0"/>
        <v>487.90367901871781</v>
      </c>
      <c r="C25">
        <f t="shared" si="1"/>
        <v>223.40367901871775</v>
      </c>
    </row>
    <row r="26" spans="1:3" x14ac:dyDescent="0.25">
      <c r="A26">
        <v>24</v>
      </c>
      <c r="B26">
        <f t="shared" si="0"/>
        <v>509.11688245431424</v>
      </c>
      <c r="C26">
        <f t="shared" si="1"/>
        <v>221.11688245431412</v>
      </c>
    </row>
    <row r="27" spans="1:3" x14ac:dyDescent="0.25">
      <c r="A27">
        <v>25</v>
      </c>
      <c r="B27">
        <f t="shared" si="0"/>
        <v>530.33008588991061</v>
      </c>
      <c r="C27">
        <f t="shared" si="1"/>
        <v>217.83008588991061</v>
      </c>
    </row>
    <row r="28" spans="1:3" x14ac:dyDescent="0.25">
      <c r="A28">
        <v>26</v>
      </c>
      <c r="B28">
        <f t="shared" si="0"/>
        <v>551.54328932550709</v>
      </c>
      <c r="C28">
        <f t="shared" si="1"/>
        <v>213.54328932550698</v>
      </c>
    </row>
    <row r="29" spans="1:3" x14ac:dyDescent="0.25">
      <c r="A29">
        <v>27</v>
      </c>
      <c r="B29">
        <f t="shared" si="0"/>
        <v>572.75649276110357</v>
      </c>
      <c r="C29">
        <f t="shared" si="1"/>
        <v>208.25649276110346</v>
      </c>
    </row>
    <row r="30" spans="1:3" x14ac:dyDescent="0.25">
      <c r="A30">
        <v>28</v>
      </c>
      <c r="B30">
        <f t="shared" si="0"/>
        <v>593.96969619669994</v>
      </c>
      <c r="C30">
        <f t="shared" si="1"/>
        <v>201.96969619669983</v>
      </c>
    </row>
    <row r="31" spans="1:3" x14ac:dyDescent="0.25">
      <c r="A31">
        <v>29</v>
      </c>
      <c r="B31">
        <f t="shared" si="0"/>
        <v>615.18289963229631</v>
      </c>
      <c r="C31">
        <f t="shared" si="1"/>
        <v>194.68289963229631</v>
      </c>
    </row>
    <row r="32" spans="1:3" x14ac:dyDescent="0.25">
      <c r="A32">
        <v>30</v>
      </c>
      <c r="B32">
        <f t="shared" si="0"/>
        <v>636.3961030678928</v>
      </c>
      <c r="C32">
        <f t="shared" si="1"/>
        <v>186.39610306789268</v>
      </c>
    </row>
    <row r="33" spans="1:3" x14ac:dyDescent="0.25">
      <c r="A33">
        <v>31</v>
      </c>
      <c r="B33">
        <f t="shared" si="0"/>
        <v>657.60930650348928</v>
      </c>
      <c r="C33">
        <f t="shared" si="1"/>
        <v>177.10930650348917</v>
      </c>
    </row>
    <row r="34" spans="1:3" x14ac:dyDescent="0.25">
      <c r="A34">
        <v>32</v>
      </c>
      <c r="B34">
        <f t="shared" ref="B34:B65" si="2">Speed * COS(RADIANS(Angle)) * A34</f>
        <v>678.82250993908565</v>
      </c>
      <c r="C34">
        <f t="shared" ref="C34:C65" si="3">Speed * SIN(RADIANS(Angle)) * A34 - 0.5 * A34 * A34</f>
        <v>166.82250993908553</v>
      </c>
    </row>
    <row r="35" spans="1:3" x14ac:dyDescent="0.25">
      <c r="A35">
        <v>33</v>
      </c>
      <c r="B35">
        <f t="shared" si="2"/>
        <v>700.03571337468202</v>
      </c>
      <c r="C35">
        <f t="shared" si="3"/>
        <v>155.5357133746819</v>
      </c>
    </row>
    <row r="36" spans="1:3" x14ac:dyDescent="0.25">
      <c r="A36">
        <v>34</v>
      </c>
      <c r="B36">
        <f t="shared" si="2"/>
        <v>721.2489168102785</v>
      </c>
      <c r="C36">
        <f t="shared" si="3"/>
        <v>143.24891681027839</v>
      </c>
    </row>
    <row r="37" spans="1:3" x14ac:dyDescent="0.25">
      <c r="A37">
        <v>35</v>
      </c>
      <c r="B37">
        <f t="shared" si="2"/>
        <v>742.46212024587498</v>
      </c>
      <c r="C37">
        <f t="shared" si="3"/>
        <v>129.96212024587476</v>
      </c>
    </row>
    <row r="38" spans="1:3" x14ac:dyDescent="0.25">
      <c r="A38">
        <v>36</v>
      </c>
      <c r="B38">
        <f t="shared" si="2"/>
        <v>763.67532368147135</v>
      </c>
      <c r="C38">
        <f t="shared" si="3"/>
        <v>115.67532368147124</v>
      </c>
    </row>
    <row r="39" spans="1:3" x14ac:dyDescent="0.25">
      <c r="A39">
        <v>37</v>
      </c>
      <c r="B39">
        <f t="shared" si="2"/>
        <v>784.88852711706772</v>
      </c>
      <c r="C39">
        <f t="shared" si="3"/>
        <v>100.38852711706761</v>
      </c>
    </row>
    <row r="40" spans="1:3" x14ac:dyDescent="0.25">
      <c r="A40">
        <v>38</v>
      </c>
      <c r="B40">
        <f t="shared" si="2"/>
        <v>806.10173055266421</v>
      </c>
      <c r="C40">
        <f t="shared" si="3"/>
        <v>84.101730552664094</v>
      </c>
    </row>
    <row r="41" spans="1:3" x14ac:dyDescent="0.25">
      <c r="A41">
        <v>39</v>
      </c>
      <c r="B41">
        <f t="shared" si="2"/>
        <v>827.31493398826069</v>
      </c>
      <c r="C41">
        <f t="shared" si="3"/>
        <v>66.814933988260464</v>
      </c>
    </row>
    <row r="42" spans="1:3" x14ac:dyDescent="0.25">
      <c r="A42">
        <v>40</v>
      </c>
      <c r="B42">
        <f t="shared" si="2"/>
        <v>848.52813742385706</v>
      </c>
      <c r="C42">
        <f t="shared" si="3"/>
        <v>48.528137423856947</v>
      </c>
    </row>
    <row r="43" spans="1:3" x14ac:dyDescent="0.25">
      <c r="A43">
        <v>41</v>
      </c>
      <c r="B43">
        <f t="shared" si="2"/>
        <v>869.74134085945343</v>
      </c>
      <c r="C43">
        <f t="shared" si="3"/>
        <v>29.241340859453317</v>
      </c>
    </row>
    <row r="44" spans="1:3" x14ac:dyDescent="0.25">
      <c r="A44">
        <v>42</v>
      </c>
      <c r="B44">
        <f t="shared" si="2"/>
        <v>890.95454429504991</v>
      </c>
      <c r="C44">
        <f t="shared" si="3"/>
        <v>8.9545442950498</v>
      </c>
    </row>
    <row r="45" spans="1:3" x14ac:dyDescent="0.25">
      <c r="A45">
        <v>43</v>
      </c>
      <c r="B45">
        <f t="shared" si="2"/>
        <v>912.1677477306464</v>
      </c>
      <c r="C45">
        <f t="shared" si="3"/>
        <v>-12.33225226935383</v>
      </c>
    </row>
    <row r="46" spans="1:3" x14ac:dyDescent="0.25">
      <c r="A46">
        <v>44</v>
      </c>
      <c r="B46">
        <f t="shared" si="2"/>
        <v>933.38095116624277</v>
      </c>
      <c r="C46">
        <f t="shared" si="3"/>
        <v>-34.619048833757347</v>
      </c>
    </row>
    <row r="47" spans="1:3" x14ac:dyDescent="0.25">
      <c r="A47">
        <v>45</v>
      </c>
      <c r="B47">
        <f t="shared" si="2"/>
        <v>954.59415460183914</v>
      </c>
      <c r="C47">
        <f t="shared" si="3"/>
        <v>-57.905845398160977</v>
      </c>
    </row>
    <row r="48" spans="1:3" x14ac:dyDescent="0.25">
      <c r="A48">
        <v>46</v>
      </c>
      <c r="B48">
        <f t="shared" si="2"/>
        <v>975.80735803743562</v>
      </c>
      <c r="C48">
        <f t="shared" si="3"/>
        <v>-82.192641962564494</v>
      </c>
    </row>
    <row r="49" spans="1:3" x14ac:dyDescent="0.25">
      <c r="A49">
        <v>47</v>
      </c>
      <c r="B49">
        <f t="shared" si="2"/>
        <v>997.0205614730321</v>
      </c>
      <c r="C49">
        <f t="shared" si="3"/>
        <v>-107.47943852696812</v>
      </c>
    </row>
    <row r="50" spans="1:3" x14ac:dyDescent="0.25">
      <c r="A50">
        <v>48</v>
      </c>
      <c r="B50">
        <f t="shared" si="2"/>
        <v>1018.2337649086285</v>
      </c>
      <c r="C50">
        <f t="shared" si="3"/>
        <v>-133.76623509137175</v>
      </c>
    </row>
    <row r="51" spans="1:3" x14ac:dyDescent="0.25">
      <c r="A51">
        <v>49</v>
      </c>
      <c r="B51">
        <f t="shared" si="2"/>
        <v>1039.4469683442248</v>
      </c>
      <c r="C51">
        <f t="shared" si="3"/>
        <v>-161.05303165577538</v>
      </c>
    </row>
    <row r="52" spans="1:3" x14ac:dyDescent="0.25">
      <c r="A52">
        <v>50</v>
      </c>
      <c r="B52">
        <f t="shared" si="2"/>
        <v>1060.6601717798212</v>
      </c>
      <c r="C52">
        <f t="shared" si="3"/>
        <v>-189.33982822017879</v>
      </c>
    </row>
    <row r="53" spans="1:3" x14ac:dyDescent="0.25">
      <c r="A53">
        <v>51</v>
      </c>
      <c r="B53">
        <f t="shared" si="2"/>
        <v>1081.8733752154178</v>
      </c>
      <c r="C53">
        <f t="shared" si="3"/>
        <v>-218.62662478458242</v>
      </c>
    </row>
    <row r="54" spans="1:3" x14ac:dyDescent="0.25">
      <c r="A54">
        <v>52</v>
      </c>
      <c r="B54">
        <f t="shared" si="2"/>
        <v>1103.0865786510142</v>
      </c>
      <c r="C54">
        <f t="shared" si="3"/>
        <v>-248.91342134898605</v>
      </c>
    </row>
    <row r="55" spans="1:3" x14ac:dyDescent="0.25">
      <c r="A55">
        <v>53</v>
      </c>
      <c r="B55">
        <f t="shared" si="2"/>
        <v>1124.2997820866105</v>
      </c>
      <c r="C55">
        <f t="shared" si="3"/>
        <v>-280.20021791338968</v>
      </c>
    </row>
    <row r="56" spans="1:3" x14ac:dyDescent="0.25">
      <c r="A56">
        <v>54</v>
      </c>
      <c r="B56">
        <f t="shared" si="2"/>
        <v>1145.5129855222071</v>
      </c>
      <c r="C56">
        <f t="shared" si="3"/>
        <v>-312.48701447779308</v>
      </c>
    </row>
    <row r="57" spans="1:3" x14ac:dyDescent="0.25">
      <c r="A57">
        <v>55</v>
      </c>
      <c r="B57">
        <f t="shared" si="2"/>
        <v>1166.7261889578035</v>
      </c>
      <c r="C57">
        <f t="shared" si="3"/>
        <v>-345.77381104219671</v>
      </c>
    </row>
    <row r="58" spans="1:3" x14ac:dyDescent="0.25">
      <c r="A58">
        <v>56</v>
      </c>
      <c r="B58">
        <f t="shared" si="2"/>
        <v>1187.9393923933999</v>
      </c>
      <c r="C58">
        <f t="shared" si="3"/>
        <v>-380.06060760660034</v>
      </c>
    </row>
    <row r="59" spans="1:3" x14ac:dyDescent="0.25">
      <c r="A59">
        <v>57</v>
      </c>
      <c r="B59">
        <f t="shared" si="2"/>
        <v>1209.1525958289963</v>
      </c>
      <c r="C59">
        <f t="shared" si="3"/>
        <v>-415.34740417100397</v>
      </c>
    </row>
    <row r="60" spans="1:3" x14ac:dyDescent="0.25">
      <c r="A60">
        <v>58</v>
      </c>
      <c r="B60">
        <f t="shared" si="2"/>
        <v>1230.3657992645926</v>
      </c>
      <c r="C60">
        <f t="shared" si="3"/>
        <v>-451.63420073540738</v>
      </c>
    </row>
    <row r="61" spans="1:3" x14ac:dyDescent="0.25">
      <c r="A61">
        <v>59</v>
      </c>
      <c r="B61">
        <f t="shared" si="2"/>
        <v>1251.5790027001892</v>
      </c>
      <c r="C61">
        <f t="shared" si="3"/>
        <v>-488.92099729981101</v>
      </c>
    </row>
    <row r="62" spans="1:3" x14ac:dyDescent="0.25">
      <c r="A62">
        <v>60</v>
      </c>
      <c r="B62">
        <f t="shared" si="2"/>
        <v>1272.7922061357856</v>
      </c>
      <c r="C62">
        <f t="shared" si="3"/>
        <v>-527.20779386421464</v>
      </c>
    </row>
    <row r="63" spans="1:3" x14ac:dyDescent="0.25">
      <c r="A63">
        <v>61</v>
      </c>
      <c r="B63">
        <f t="shared" si="2"/>
        <v>1294.005409571382</v>
      </c>
      <c r="C63">
        <f t="shared" si="3"/>
        <v>-566.49459042861827</v>
      </c>
    </row>
    <row r="64" spans="1:3" x14ac:dyDescent="0.25">
      <c r="A64">
        <v>62</v>
      </c>
      <c r="B64">
        <f t="shared" si="2"/>
        <v>1315.2186130069786</v>
      </c>
      <c r="C64">
        <f t="shared" si="3"/>
        <v>-606.78138699302167</v>
      </c>
    </row>
    <row r="65" spans="1:3" x14ac:dyDescent="0.25">
      <c r="A65">
        <v>63</v>
      </c>
      <c r="B65">
        <f t="shared" si="2"/>
        <v>1336.4318164425749</v>
      </c>
      <c r="C65">
        <f t="shared" si="3"/>
        <v>-648.0681835574253</v>
      </c>
    </row>
    <row r="66" spans="1:3" x14ac:dyDescent="0.25">
      <c r="A66">
        <v>64</v>
      </c>
      <c r="B66">
        <f t="shared" ref="B66:B97" si="4">Speed * COS(RADIANS(Angle)) * A66</f>
        <v>1357.6450198781713</v>
      </c>
      <c r="C66">
        <f t="shared" ref="C66:C102" si="5">Speed * SIN(RADIANS(Angle)) * A66 - 0.5 * A66 * A66</f>
        <v>-690.35498012182893</v>
      </c>
    </row>
    <row r="67" spans="1:3" x14ac:dyDescent="0.25">
      <c r="A67">
        <v>65</v>
      </c>
      <c r="B67">
        <f t="shared" si="4"/>
        <v>1378.8582233137677</v>
      </c>
      <c r="C67">
        <f t="shared" si="5"/>
        <v>-733.64177668623256</v>
      </c>
    </row>
    <row r="68" spans="1:3" x14ac:dyDescent="0.25">
      <c r="A68">
        <v>66</v>
      </c>
      <c r="B68">
        <f t="shared" si="4"/>
        <v>1400.071426749364</v>
      </c>
      <c r="C68">
        <f t="shared" si="5"/>
        <v>-777.92857325063619</v>
      </c>
    </row>
    <row r="69" spans="1:3" x14ac:dyDescent="0.25">
      <c r="A69">
        <v>67</v>
      </c>
      <c r="B69">
        <f t="shared" si="4"/>
        <v>1421.2846301849606</v>
      </c>
      <c r="C69">
        <f t="shared" si="5"/>
        <v>-823.21536981503959</v>
      </c>
    </row>
    <row r="70" spans="1:3" x14ac:dyDescent="0.25">
      <c r="A70">
        <v>68</v>
      </c>
      <c r="B70">
        <f t="shared" si="4"/>
        <v>1442.497833620557</v>
      </c>
      <c r="C70">
        <f t="shared" si="5"/>
        <v>-869.50216637944322</v>
      </c>
    </row>
    <row r="71" spans="1:3" x14ac:dyDescent="0.25">
      <c r="A71">
        <v>69</v>
      </c>
      <c r="B71">
        <f t="shared" si="4"/>
        <v>1463.7110370561534</v>
      </c>
      <c r="C71">
        <f t="shared" si="5"/>
        <v>-916.78896294384685</v>
      </c>
    </row>
    <row r="72" spans="1:3" x14ac:dyDescent="0.25">
      <c r="A72">
        <v>70</v>
      </c>
      <c r="B72">
        <f t="shared" si="4"/>
        <v>1484.92424049175</v>
      </c>
      <c r="C72">
        <f t="shared" si="5"/>
        <v>-965.07575950825048</v>
      </c>
    </row>
    <row r="73" spans="1:3" x14ac:dyDescent="0.25">
      <c r="A73">
        <v>71</v>
      </c>
      <c r="B73">
        <f t="shared" si="4"/>
        <v>1506.1374439273463</v>
      </c>
      <c r="C73">
        <f t="shared" si="5"/>
        <v>-1014.3625560726539</v>
      </c>
    </row>
    <row r="74" spans="1:3" x14ac:dyDescent="0.25">
      <c r="A74">
        <v>72</v>
      </c>
      <c r="B74">
        <f t="shared" si="4"/>
        <v>1527.3506473629427</v>
      </c>
      <c r="C74">
        <f t="shared" si="5"/>
        <v>-1064.6493526370575</v>
      </c>
    </row>
    <row r="75" spans="1:3" x14ac:dyDescent="0.25">
      <c r="A75">
        <v>73</v>
      </c>
      <c r="B75">
        <f t="shared" si="4"/>
        <v>1548.5638507985391</v>
      </c>
      <c r="C75">
        <f t="shared" si="5"/>
        <v>-1115.9361492014611</v>
      </c>
    </row>
    <row r="76" spans="1:3" x14ac:dyDescent="0.25">
      <c r="A76">
        <v>74</v>
      </c>
      <c r="B76">
        <f t="shared" si="4"/>
        <v>1569.7770542341354</v>
      </c>
      <c r="C76">
        <f t="shared" si="5"/>
        <v>-1168.2229457658648</v>
      </c>
    </row>
    <row r="77" spans="1:3" x14ac:dyDescent="0.25">
      <c r="A77">
        <v>75</v>
      </c>
      <c r="B77">
        <f t="shared" si="4"/>
        <v>1590.990257669732</v>
      </c>
      <c r="C77">
        <f t="shared" si="5"/>
        <v>-1221.5097423302682</v>
      </c>
    </row>
    <row r="78" spans="1:3" x14ac:dyDescent="0.25">
      <c r="A78">
        <v>76</v>
      </c>
      <c r="B78">
        <f t="shared" si="4"/>
        <v>1612.2034611053284</v>
      </c>
      <c r="C78">
        <f t="shared" si="5"/>
        <v>-1275.7965388946718</v>
      </c>
    </row>
    <row r="79" spans="1:3" x14ac:dyDescent="0.25">
      <c r="A79">
        <v>77</v>
      </c>
      <c r="B79">
        <f t="shared" si="4"/>
        <v>1633.4166645409248</v>
      </c>
      <c r="C79">
        <f t="shared" si="5"/>
        <v>-1331.0833354590754</v>
      </c>
    </row>
    <row r="80" spans="1:3" x14ac:dyDescent="0.25">
      <c r="A80">
        <v>78</v>
      </c>
      <c r="B80">
        <f t="shared" si="4"/>
        <v>1654.6298679765214</v>
      </c>
      <c r="C80">
        <f t="shared" si="5"/>
        <v>-1387.3701320234791</v>
      </c>
    </row>
    <row r="81" spans="1:3" x14ac:dyDescent="0.25">
      <c r="A81">
        <v>79</v>
      </c>
      <c r="B81">
        <f t="shared" si="4"/>
        <v>1675.8430714121178</v>
      </c>
      <c r="C81">
        <f t="shared" si="5"/>
        <v>-1444.6569285878825</v>
      </c>
    </row>
    <row r="82" spans="1:3" x14ac:dyDescent="0.25">
      <c r="A82">
        <v>80</v>
      </c>
      <c r="B82">
        <f t="shared" si="4"/>
        <v>1697.0562748477141</v>
      </c>
      <c r="C82">
        <f t="shared" si="5"/>
        <v>-1502.9437251522861</v>
      </c>
    </row>
    <row r="83" spans="1:3" x14ac:dyDescent="0.25">
      <c r="A83">
        <v>81</v>
      </c>
      <c r="B83">
        <f t="shared" si="4"/>
        <v>1718.2694782833105</v>
      </c>
      <c r="C83">
        <f t="shared" si="5"/>
        <v>-1562.2305217166897</v>
      </c>
    </row>
    <row r="84" spans="1:3" x14ac:dyDescent="0.25">
      <c r="A84">
        <v>82</v>
      </c>
      <c r="B84">
        <f t="shared" si="4"/>
        <v>1739.4826817189069</v>
      </c>
      <c r="C84">
        <f t="shared" si="5"/>
        <v>-1622.5173182810934</v>
      </c>
    </row>
    <row r="85" spans="1:3" x14ac:dyDescent="0.25">
      <c r="A85">
        <v>83</v>
      </c>
      <c r="B85">
        <f t="shared" si="4"/>
        <v>1760.6958851545035</v>
      </c>
      <c r="C85">
        <f t="shared" si="5"/>
        <v>-1683.804114845497</v>
      </c>
    </row>
    <row r="86" spans="1:3" x14ac:dyDescent="0.25">
      <c r="A86">
        <v>84</v>
      </c>
      <c r="B86">
        <f t="shared" si="4"/>
        <v>1781.9090885900998</v>
      </c>
      <c r="C86">
        <f t="shared" si="5"/>
        <v>-1746.0909114099004</v>
      </c>
    </row>
    <row r="87" spans="1:3" x14ac:dyDescent="0.25">
      <c r="A87">
        <v>85</v>
      </c>
      <c r="B87">
        <f t="shared" si="4"/>
        <v>1803.1222920256962</v>
      </c>
      <c r="C87">
        <f t="shared" si="5"/>
        <v>-1809.377707974304</v>
      </c>
    </row>
    <row r="88" spans="1:3" x14ac:dyDescent="0.25">
      <c r="A88">
        <v>86</v>
      </c>
      <c r="B88">
        <f t="shared" si="4"/>
        <v>1824.3354954612928</v>
      </c>
      <c r="C88">
        <f t="shared" si="5"/>
        <v>-1873.6645045387077</v>
      </c>
    </row>
    <row r="89" spans="1:3" x14ac:dyDescent="0.25">
      <c r="A89">
        <v>87</v>
      </c>
      <c r="B89">
        <f t="shared" si="4"/>
        <v>1845.5486988968892</v>
      </c>
      <c r="C89">
        <f t="shared" si="5"/>
        <v>-1938.9513011031113</v>
      </c>
    </row>
    <row r="90" spans="1:3" x14ac:dyDescent="0.25">
      <c r="A90">
        <v>88</v>
      </c>
      <c r="B90">
        <f t="shared" si="4"/>
        <v>1866.7619023324855</v>
      </c>
      <c r="C90">
        <f t="shared" si="5"/>
        <v>-2005.2380976675147</v>
      </c>
    </row>
    <row r="91" spans="1:3" x14ac:dyDescent="0.25">
      <c r="A91">
        <v>89</v>
      </c>
      <c r="B91">
        <f t="shared" si="4"/>
        <v>1887.9751057680819</v>
      </c>
      <c r="C91">
        <f t="shared" si="5"/>
        <v>-2072.5248942319186</v>
      </c>
    </row>
    <row r="92" spans="1:3" x14ac:dyDescent="0.25">
      <c r="A92">
        <v>90</v>
      </c>
      <c r="B92">
        <f t="shared" si="4"/>
        <v>1909.1883092036783</v>
      </c>
      <c r="C92">
        <f t="shared" si="5"/>
        <v>-2140.8116907963222</v>
      </c>
    </row>
    <row r="93" spans="1:3" x14ac:dyDescent="0.25">
      <c r="A93">
        <v>91</v>
      </c>
      <c r="B93">
        <f t="shared" si="4"/>
        <v>1930.4015126392749</v>
      </c>
      <c r="C93">
        <f t="shared" si="5"/>
        <v>-2210.0984873607258</v>
      </c>
    </row>
    <row r="94" spans="1:3" x14ac:dyDescent="0.25">
      <c r="A94">
        <v>92</v>
      </c>
      <c r="B94">
        <f t="shared" si="4"/>
        <v>1951.6147160748712</v>
      </c>
      <c r="C94">
        <f t="shared" si="5"/>
        <v>-2280.385283925129</v>
      </c>
    </row>
    <row r="95" spans="1:3" x14ac:dyDescent="0.25">
      <c r="A95">
        <v>93</v>
      </c>
      <c r="B95">
        <f t="shared" si="4"/>
        <v>1972.8279195104676</v>
      </c>
      <c r="C95">
        <f t="shared" si="5"/>
        <v>-2351.6720804895326</v>
      </c>
    </row>
    <row r="96" spans="1:3" x14ac:dyDescent="0.25">
      <c r="A96">
        <v>94</v>
      </c>
      <c r="B96">
        <f t="shared" si="4"/>
        <v>1994.0411229460642</v>
      </c>
      <c r="C96">
        <f t="shared" si="5"/>
        <v>-2423.9588770539362</v>
      </c>
    </row>
    <row r="97" spans="1:3" x14ac:dyDescent="0.25">
      <c r="A97">
        <v>95</v>
      </c>
      <c r="B97">
        <f t="shared" si="4"/>
        <v>2015.2543263816606</v>
      </c>
      <c r="C97">
        <f t="shared" si="5"/>
        <v>-2497.2456736183399</v>
      </c>
    </row>
    <row r="98" spans="1:3" x14ac:dyDescent="0.25">
      <c r="A98">
        <v>96</v>
      </c>
      <c r="B98">
        <f t="shared" ref="B98:B102" si="6">Speed * COS(RADIANS(Angle)) * A98</f>
        <v>2036.4675298172569</v>
      </c>
      <c r="C98">
        <f t="shared" si="5"/>
        <v>-2571.5324701827435</v>
      </c>
    </row>
    <row r="99" spans="1:3" x14ac:dyDescent="0.25">
      <c r="A99">
        <v>97</v>
      </c>
      <c r="B99">
        <f t="shared" si="6"/>
        <v>2057.6807332528533</v>
      </c>
      <c r="C99">
        <f t="shared" si="5"/>
        <v>-2646.8192667471471</v>
      </c>
    </row>
    <row r="100" spans="1:3" x14ac:dyDescent="0.25">
      <c r="A100">
        <v>98</v>
      </c>
      <c r="B100">
        <f t="shared" si="6"/>
        <v>2078.8939366884497</v>
      </c>
      <c r="C100">
        <f t="shared" si="5"/>
        <v>-2723.1060633115508</v>
      </c>
    </row>
    <row r="101" spans="1:3" x14ac:dyDescent="0.25">
      <c r="A101">
        <v>99</v>
      </c>
      <c r="B101">
        <f t="shared" si="6"/>
        <v>2100.1071401240461</v>
      </c>
      <c r="C101">
        <f t="shared" si="5"/>
        <v>-2800.3928598759539</v>
      </c>
    </row>
    <row r="102" spans="1:3" x14ac:dyDescent="0.25">
      <c r="A102">
        <v>100</v>
      </c>
      <c r="B102">
        <f t="shared" si="6"/>
        <v>2121.3203435596424</v>
      </c>
      <c r="C102">
        <f t="shared" si="5"/>
        <v>-2878.6796564403576</v>
      </c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已命名的範圍</vt:lpstr>
      </vt:variant>
      <vt:variant>
        <vt:i4>2</vt:i4>
      </vt:variant>
    </vt:vector>
  </HeadingPairs>
  <TitlesOfParts>
    <vt:vector size="5" baseType="lpstr">
      <vt:lpstr>Game</vt:lpstr>
      <vt:lpstr>Pictures</vt:lpstr>
      <vt:lpstr>Calculations</vt:lpstr>
      <vt:lpstr>Angle</vt:lpstr>
      <vt:lpstr>Speed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Gibson</dc:creator>
  <cp:lastModifiedBy>Jason</cp:lastModifiedBy>
  <dcterms:created xsi:type="dcterms:W3CDTF">2011-08-15T04:12:03Z</dcterms:created>
  <dcterms:modified xsi:type="dcterms:W3CDTF">2013-10-22T15:50:37Z</dcterms:modified>
</cp:coreProperties>
</file>